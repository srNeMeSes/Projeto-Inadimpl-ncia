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Base" sheetId="1" r:id="rId1"/>
    <sheet name="IV" sheetId="2" r:id="rId2"/>
  </sheets>
  <definedNames>
    <definedName name="_xlnm._FilterDatabase" localSheetId="0" hidden="1">Base!$A$1:$A$1121</definedName>
    <definedName name="emprestimos" localSheetId="0" hidden="1">Base!$B$1:$K$1001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emprestimos" type="6" background="1" refreshedVersion="2" saveData="1">
    <textPr sourceFile="/Users/vinicius/Desktop/Data_Analytics_Sicredit_Upskilling/_inferencia/_reg_log/emprestimos.csv" decimal="," thousands=".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<sst xmlns="http://schemas.openxmlformats.org/spreadsheetml/2006/main" count="5668" uniqueCount="60">
  <si>
    <t>ID</t>
  </si>
  <si>
    <t>Idade</t>
  </si>
  <si>
    <t>Gênero</t>
  </si>
  <si>
    <t>Escolaridade</t>
  </si>
  <si>
    <t>Moradia</t>
  </si>
  <si>
    <t xml:space="preserve"> Renda_mensal </t>
  </si>
  <si>
    <t>Saldo Investido</t>
  </si>
  <si>
    <t>Saldo Conta Corrente</t>
  </si>
  <si>
    <t xml:space="preserve"> Valor Emprestimo </t>
  </si>
  <si>
    <t>Duracao Emprestimo</t>
  </si>
  <si>
    <t>Inadimplencia</t>
  </si>
  <si>
    <t>H</t>
  </si>
  <si>
    <t>Graduacao</t>
  </si>
  <si>
    <t>Propria</t>
  </si>
  <si>
    <t>Abaixo R$1.500</t>
  </si>
  <si>
    <t>Abaixo de R$1.500</t>
  </si>
  <si>
    <t>M</t>
  </si>
  <si>
    <t>Ensino Medio</t>
  </si>
  <si>
    <t>Não Possui</t>
  </si>
  <si>
    <t>Sem conta</t>
  </si>
  <si>
    <t>Entre R$1500 a R$10.000</t>
  </si>
  <si>
    <t>Entre R$1.500 a R$5.000</t>
  </si>
  <si>
    <t>Alugada</t>
  </si>
  <si>
    <t>De favor</t>
  </si>
  <si>
    <t>Pos Graduacao</t>
  </si>
  <si>
    <t>Acima de R$5.000</t>
  </si>
  <si>
    <t>Acima de R$10.000</t>
  </si>
  <si>
    <t>Contagem de Inadimplencia</t>
  </si>
  <si>
    <t>Total geral</t>
  </si>
  <si>
    <t>Frequencia</t>
  </si>
  <si>
    <t>% Frequencia</t>
  </si>
  <si>
    <t>%Inadimplentes</t>
  </si>
  <si>
    <t>ODDS</t>
  </si>
  <si>
    <t>LN(ODDS)</t>
  </si>
  <si>
    <t>IV</t>
  </si>
  <si>
    <t>&lt;1500</t>
  </si>
  <si>
    <t>1323-2322</t>
  </si>
  <si>
    <t>1500-2499</t>
  </si>
  <si>
    <t>2323-3322</t>
  </si>
  <si>
    <t>2500-3499</t>
  </si>
  <si>
    <t>3323-4322</t>
  </si>
  <si>
    <t>3500-4499</t>
  </si>
  <si>
    <t>4323-5322</t>
  </si>
  <si>
    <t>4500-5499</t>
  </si>
  <si>
    <t>5323-6322</t>
  </si>
  <si>
    <t>5500-6000</t>
  </si>
  <si>
    <t>6323-6780</t>
  </si>
  <si>
    <t>&gt;6000</t>
  </si>
  <si>
    <t>&lt;20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</si>
  <si>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</si>
  <si>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</si>
  <si>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</si>
  <si>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</si>
  <si>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</si>
  <si>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</si>
  <si>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</si>
  <si>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</si>
  <si>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60-65</t>
  </si>
  <si>
    <t>&gt;65</t>
  </si>
  <si>
    <t>%f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</si>
</sst>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%"/>
    <numFmt numFmtId="181" formatCode="0.000_ "/>
    <numFmt numFmtId="182" formatCode="0.0000_ "/>
    <numFmt numFmtId="183" formatCode="_-[$R$-416]\ * #,##0.00_-;\-[$R$-416]\ * #,##0.00_-;_-[$R$-416]\ * &quot;-&quot;??_-;_-@_-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2" tint="-0.25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2"/>
      <color theme="3" tint="-0.5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8"/>
        <bgColor theme="4" tint="0.79998168889431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6" applyNumberFormat="0" applyFill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4" fillId="0" borderId="2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28" applyNumberFormat="0" applyAlignment="0" applyProtection="0">
      <alignment vertical="center"/>
    </xf>
    <xf numFmtId="0" fontId="16" fillId="7" borderId="29" applyNumberFormat="0" applyAlignment="0" applyProtection="0">
      <alignment vertical="center"/>
    </xf>
    <xf numFmtId="0" fontId="17" fillId="7" borderId="28" applyNumberFormat="0" applyAlignment="0" applyProtection="0">
      <alignment vertical="center"/>
    </xf>
    <xf numFmtId="0" fontId="18" fillId="8" borderId="30" applyNumberFormat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4" borderId="4" xfId="0" applyFill="1" applyBorder="1"/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0" fillId="4" borderId="7" xfId="0" applyFill="1" applyBorder="1"/>
    <xf numFmtId="0" fontId="1" fillId="3" borderId="8" xfId="0" applyFont="1" applyFill="1" applyBorder="1" applyAlignment="1">
      <alignment horizontal="left"/>
    </xf>
    <xf numFmtId="0" fontId="0" fillId="4" borderId="0" xfId="0" applyFill="1"/>
    <xf numFmtId="0" fontId="1" fillId="3" borderId="9" xfId="0" applyFont="1" applyFill="1" applyBorder="1" applyAlignment="1">
      <alignment horizontal="left"/>
    </xf>
    <xf numFmtId="0" fontId="0" fillId="4" borderId="10" xfId="0" applyFill="1" applyBorder="1"/>
    <xf numFmtId="0" fontId="2" fillId="3" borderId="11" xfId="0" applyFont="1" applyFill="1" applyBorder="1"/>
    <xf numFmtId="0" fontId="3" fillId="3" borderId="12" xfId="0" applyNumberFormat="1" applyFont="1" applyFill="1" applyBorder="1"/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15" xfId="0" applyBorder="1"/>
    <xf numFmtId="0" fontId="1" fillId="2" borderId="2" xfId="0" applyFont="1" applyFill="1" applyBorder="1" applyAlignment="1">
      <alignment horizontal="center"/>
    </xf>
    <xf numFmtId="9" fontId="1" fillId="2" borderId="2" xfId="3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180" fontId="0" fillId="4" borderId="4" xfId="3" applyNumberFormat="1" applyFill="1" applyBorder="1"/>
    <xf numFmtId="181" fontId="4" fillId="4" borderId="17" xfId="0" applyNumberFormat="1" applyFont="1" applyFill="1" applyBorder="1"/>
    <xf numFmtId="180" fontId="0" fillId="0" borderId="0" xfId="3" applyNumberFormat="1"/>
    <xf numFmtId="181" fontId="0" fillId="0" borderId="18" xfId="0" applyNumberFormat="1" applyBorder="1"/>
    <xf numFmtId="180" fontId="0" fillId="4" borderId="7" xfId="3" applyNumberFormat="1" applyFill="1" applyBorder="1"/>
    <xf numFmtId="181" fontId="4" fillId="4" borderId="19" xfId="0" applyNumberFormat="1" applyFont="1" applyFill="1" applyBorder="1"/>
    <xf numFmtId="180" fontId="0" fillId="4" borderId="0" xfId="3" applyNumberFormat="1" applyFill="1"/>
    <xf numFmtId="181" fontId="4" fillId="4" borderId="20" xfId="0" applyNumberFormat="1" applyFont="1" applyFill="1" applyBorder="1"/>
    <xf numFmtId="180" fontId="0" fillId="4" borderId="10" xfId="3" applyNumberFormat="1" applyFill="1" applyBorder="1"/>
    <xf numFmtId="181" fontId="4" fillId="4" borderId="21" xfId="0" applyNumberFormat="1" applyFont="1" applyFill="1" applyBorder="1"/>
    <xf numFmtId="0" fontId="2" fillId="3" borderId="12" xfId="0" applyFont="1" applyFill="1" applyBorder="1"/>
    <xf numFmtId="181" fontId="5" fillId="3" borderId="22" xfId="0" applyNumberFormat="1" applyFont="1" applyFill="1" applyBorder="1"/>
    <xf numFmtId="0" fontId="1" fillId="2" borderId="14" xfId="0" applyFont="1" applyFill="1" applyBorder="1" applyAlignment="1">
      <alignment horizontal="center"/>
    </xf>
    <xf numFmtId="9" fontId="1" fillId="2" borderId="14" xfId="3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182" fontId="5" fillId="3" borderId="24" xfId="0" applyNumberFormat="1" applyFont="1" applyFill="1" applyBorder="1"/>
    <xf numFmtId="9" fontId="0" fillId="0" borderId="0" xfId="3"/>
    <xf numFmtId="181" fontId="0" fillId="0" borderId="0" xfId="0" applyNumberFormat="1"/>
    <xf numFmtId="183" fontId="0" fillId="0" borderId="0" xfId="0" applyNumberFormat="1"/>
    <xf numFmtId="0" fontId="2" fillId="0" borderId="0" xfId="0" applyFont="1"/>
    <xf numFmtId="183" fontId="2" fillId="0" borderId="0" xfId="0" applyNumberFormat="1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">
    <dxf>
      <numFmt numFmtId="183" formatCode="_-[$R$-416]\ * #,##0.00_-;\-[$R$-416]\ * #,##0.00_-;_-[$R$-416]\ * &quot;-&quot;??_-;_-@_-"/>
    </dxf>
    <dxf>
      <numFmt numFmtId="183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4.7543171296" refreshedBy="MICRO" recordCount="1120">
  <cacheSource type="worksheet">
    <worksheetSource name="Tabela1"/>
  </cacheSource>
  <cacheFields count="11">
    <cacheField name="ID" numFmtId="0">
      <sharedItems containsSemiMixedTypes="0" containsString="0" containsNumber="1" containsInteger="1" minValue="1" maxValue="1120" count="1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</sharedItems>
    </cacheField>
    <cacheField name="Idade" numFmtId="0">
      <sharedItems containsSemiMixedTypes="0" containsString="0" containsNumber="1" containsInteger="1" minValue="17" maxValue="83" count="62">
        <n v="23"/>
        <n v="33"/>
        <n v="35"/>
        <n v="28"/>
        <n v="37"/>
        <n v="52"/>
        <n v="26"/>
        <n v="30"/>
        <n v="31"/>
        <n v="70"/>
        <n v="25"/>
        <n v="22"/>
        <n v="29"/>
        <n v="40"/>
        <n v="32"/>
        <n v="58"/>
        <n v="24"/>
        <n v="48"/>
        <n v="36"/>
        <n v="42"/>
        <n v="59"/>
        <n v="55"/>
        <n v="47"/>
        <n v="44"/>
        <n v="45"/>
        <n v="66"/>
        <n v="39"/>
        <n v="50"/>
        <n v="69"/>
        <n v="34"/>
        <n v="83"/>
        <n v="43"/>
        <n v="51"/>
        <n v="81"/>
        <n v="63"/>
        <n v="54"/>
        <n v="27"/>
        <n v="46"/>
        <n v="56"/>
        <n v="20"/>
        <n v="38"/>
        <n v="41"/>
        <n v="74"/>
        <n v="61"/>
        <n v="21"/>
        <n v="72"/>
        <n v="64"/>
        <n v="49"/>
        <n v="19"/>
        <n v="53"/>
        <n v="65"/>
        <n v="67"/>
        <n v="18"/>
        <n v="62"/>
        <n v="57"/>
        <n v="75"/>
        <n v="60"/>
        <n v="17"/>
        <n v="73"/>
        <n v="68"/>
        <n v="71"/>
        <n v="77"/>
      </sharedItems>
      <fieldGroup base="1">
        <rangePr autoStart="0" autoEnd="0" startNum="20" endNum="65" groupInterval="5"/>
        <groupItems count="11">
          <s v="&lt;20"/>
          <s v="20-24"/>
          <s v="25-29"/>
          <s v="30-34"/>
          <s v="35-39"/>
          <s v="40-44"/>
          <s v="45-49"/>
          <s v="50-54"/>
          <s v="55-59"/>
          <s v="60-65"/>
          <s v="&gt;65"/>
        </groupItems>
      </fieldGroup>
    </cacheField>
    <cacheField name="Gênero" numFmtId="0">
      <sharedItems count="2">
        <s v="H"/>
        <s v="M"/>
      </sharedItems>
    </cacheField>
    <cacheField name="Escolaridade" numFmtId="0">
      <sharedItems count="3">
        <s v="Graduacao"/>
        <s v="Ensino Medio"/>
        <s v="Pos Graduacao"/>
      </sharedItems>
    </cacheField>
    <cacheField name="Moradia" numFmtId="0">
      <sharedItems count="3">
        <s v="Propria"/>
        <s v="Alugada"/>
        <s v="De favor"/>
      </sharedItems>
    </cacheField>
    <cacheField name=" Renda_mensal " numFmtId="0">
      <sharedItems containsSemiMixedTypes="0" containsString="0" containsNumber="1" containsInteger="1" minValue="1323" maxValue="6780" count="1020">
        <n v="1800"/>
        <n v="1554"/>
        <n v="2419"/>
        <n v="4992"/>
        <n v="3914"/>
        <n v="4440"/>
        <n v="3918"/>
        <n v="2754"/>
        <n v="3213"/>
        <n v="2130"/>
        <n v="4854"/>
        <n v="2470"/>
        <n v="5311"/>
        <n v="3095"/>
        <n v="4275"/>
        <n v="5058"/>
        <n v="3756"/>
        <n v="1863"/>
        <n v="5972"/>
        <n v="4927"/>
        <n v="2337"/>
        <n v="1324"/>
        <n v="3764"/>
        <n v="2447"/>
        <n v="6113"/>
        <n v="6775"/>
        <n v="5438"/>
        <n v="5848"/>
        <n v="3882"/>
        <n v="4456"/>
        <n v="5919"/>
        <n v="1650"/>
        <n v="2156"/>
        <n v="6679"/>
        <n v="1808"/>
        <n v="3841"/>
        <n v="3822"/>
        <n v="4354"/>
        <n v="4172"/>
        <n v="3477"/>
        <n v="3576"/>
        <n v="3936"/>
        <n v="5920"/>
        <n v="5876"/>
        <n v="2252"/>
        <n v="5024"/>
        <n v="1341"/>
        <n v="2195"/>
        <n v="2394"/>
        <n v="1548"/>
        <n v="6375"/>
        <n v="2322"/>
        <n v="3814"/>
        <n v="2398"/>
        <n v="6067"/>
        <n v="6277"/>
        <n v="2413"/>
        <n v="6315"/>
        <n v="2758"/>
        <n v="3361"/>
        <n v="5485"/>
        <n v="5510"/>
        <n v="2357"/>
        <n v="6401"/>
        <n v="5555"/>
        <n v="1444"/>
        <n v="1477"/>
        <n v="3823"/>
        <n v="3758"/>
        <n v="1822"/>
        <n v="5774"/>
        <n v="5051"/>
        <n v="4389"/>
        <n v="2861"/>
        <n v="2814"/>
        <n v="4407"/>
        <n v="2921"/>
        <n v="1991"/>
        <n v="5406"/>
        <n v="2741"/>
        <n v="1633"/>
        <n v="6047"/>
        <n v="2417"/>
        <n v="4194"/>
        <n v="6177"/>
        <n v="6131"/>
        <n v="6603"/>
        <n v="4848"/>
        <n v="3585"/>
        <n v="4258"/>
        <n v="1757"/>
        <n v="4340"/>
        <n v="2222"/>
        <n v="4585"/>
        <n v="5441"/>
        <n v="5391"/>
        <n v="2528"/>
        <n v="5596"/>
        <n v="3199"/>
        <n v="1896"/>
        <n v="4920"/>
        <n v="5158"/>
        <n v="3487"/>
        <n v="2524"/>
        <n v="6417"/>
        <n v="2850"/>
        <n v="2825"/>
        <n v="1460"/>
        <n v="2464"/>
        <n v="3600"/>
        <n v="4221"/>
        <n v="4591"/>
        <n v="2688"/>
        <n v="6582"/>
        <n v="6289"/>
        <n v="3201"/>
        <n v="3738"/>
        <n v="5842"/>
        <n v="1760"/>
        <n v="3582"/>
        <n v="3012"/>
        <n v="3017"/>
        <n v="4257"/>
        <n v="3619"/>
        <n v="5826"/>
        <n v="4198"/>
        <n v="5071"/>
        <n v="2434"/>
        <n v="5935"/>
        <n v="2991"/>
        <n v="3868"/>
        <n v="5241"/>
        <n v="3863"/>
        <n v="6672"/>
        <n v="5593"/>
        <n v="6483"/>
        <n v="5634"/>
        <n v="5434"/>
        <n v="4361"/>
        <n v="3788"/>
        <n v="2515"/>
        <n v="3605"/>
        <n v="6208"/>
        <n v="5373"/>
        <n v="3878"/>
        <n v="2017"/>
        <n v="2373"/>
        <n v="3277"/>
        <n v="2867"/>
        <n v="6048"/>
        <n v="5300"/>
        <n v="4345"/>
        <n v="2724"/>
        <n v="2385"/>
        <n v="6487"/>
        <n v="3740"/>
        <n v="3057"/>
        <n v="2068"/>
        <n v="5070"/>
        <n v="5385"/>
        <n v="1928"/>
        <n v="4744"/>
        <n v="2400"/>
        <n v="4264"/>
        <n v="4658"/>
        <n v="3750"/>
        <n v="3768"/>
        <n v="2733"/>
        <n v="3305"/>
        <n v="1795"/>
        <n v="1677"/>
        <n v="1864"/>
        <n v="6570"/>
        <n v="6681"/>
        <n v="5546"/>
        <n v="1673"/>
        <n v="3569"/>
        <n v="2138"/>
        <n v="4586"/>
        <n v="3366"/>
        <n v="3869"/>
        <n v="1714"/>
        <n v="2169"/>
        <n v="5487"/>
        <n v="4260"/>
        <n v="4113"/>
        <n v="3021"/>
        <n v="5721"/>
        <n v="5625"/>
        <n v="5840"/>
        <n v="4296"/>
        <n v="2840"/>
        <n v="4754"/>
        <n v="2788"/>
        <n v="4170"/>
        <n v="6743"/>
        <n v="1839"/>
        <n v="6607"/>
        <n v="3843"/>
        <n v="3499"/>
        <n v="4647"/>
        <n v="1565"/>
        <n v="3455"/>
        <n v="5107"/>
        <n v="2746"/>
        <n v="5838"/>
        <n v="1898"/>
        <n v="1818"/>
        <n v="2615"/>
        <n v="6168"/>
        <n v="3077"/>
        <n v="4922"/>
        <n v="3708"/>
        <n v="1331"/>
        <n v="4875"/>
        <n v="2846"/>
        <n v="5126"/>
        <n v="3210"/>
        <n v="2007"/>
        <n v="1739"/>
        <n v="2611"/>
        <n v="1970"/>
        <n v="3595"/>
        <n v="3547"/>
        <n v="2892"/>
        <n v="5660"/>
        <n v="5635"/>
        <n v="4331"/>
        <n v="3981"/>
        <n v="2104"/>
        <n v="2119"/>
        <n v="4099"/>
        <n v="3960"/>
        <n v="5298"/>
        <n v="3712"/>
        <n v="3778"/>
        <n v="2010"/>
        <n v="2094"/>
        <n v="3715"/>
        <n v="6396"/>
        <n v="3883"/>
        <n v="2288"/>
        <n v="3864"/>
        <n v="1725"/>
        <n v="2831"/>
        <n v="4796"/>
        <n v="3270"/>
        <n v="4237"/>
        <n v="3964"/>
        <n v="3520"/>
        <n v="3142"/>
        <n v="1756"/>
        <n v="2346"/>
        <n v="3156"/>
        <n v="3350"/>
        <n v="6491"/>
        <n v="4213"/>
        <n v="4971"/>
        <n v="5303"/>
        <n v="2676"/>
        <n v="5004"/>
        <n v="4155"/>
        <n v="5580"/>
        <n v="6550"/>
        <n v="5077"/>
        <n v="2166"/>
        <n v="1941"/>
        <n v="1695"/>
        <n v="5017"/>
        <n v="5746"/>
        <n v="5933"/>
        <n v="2634"/>
        <n v="1816"/>
        <n v="4145"/>
        <n v="4129"/>
        <n v="3898"/>
        <n v="4722"/>
        <n v="6350"/>
        <n v="3218"/>
        <n v="3182"/>
        <n v="2575"/>
        <n v="3797"/>
        <n v="2001"/>
        <n v="2827"/>
        <n v="6510"/>
        <n v="2465"/>
        <n v="4906"/>
        <n v="3796"/>
        <n v="4514"/>
        <n v="4137"/>
        <n v="4391"/>
        <n v="6519"/>
        <n v="3974"/>
        <n v="6475"/>
        <n v="6310"/>
        <n v="6076"/>
        <n v="1382"/>
        <n v="3371"/>
        <n v="4774"/>
        <n v="6109"/>
        <n v="5455"/>
        <n v="1567"/>
        <n v="1882"/>
        <n v="1832"/>
        <n v="1805"/>
        <n v="4956"/>
        <n v="3359"/>
        <n v="1848"/>
        <n v="3938"/>
        <n v="1615"/>
        <n v="3100"/>
        <n v="5725"/>
        <n v="1446"/>
        <n v="3820"/>
        <n v="1743"/>
        <n v="4513"/>
        <n v="2549"/>
        <n v="2566"/>
        <n v="2592"/>
        <n v="4663"/>
        <n v="3426"/>
        <n v="4590"/>
        <n v="1907"/>
        <n v="2782"/>
        <n v="4167"/>
        <n v="5230"/>
        <n v="2960"/>
        <n v="6727"/>
        <n v="6621"/>
        <n v="5295"/>
        <n v="2633"/>
        <n v="5654"/>
        <n v="3236"/>
        <n v="1749"/>
        <n v="2112"/>
        <n v="3507"/>
        <n v="5458"/>
        <n v="6609"/>
        <n v="3937"/>
        <n v="4076"/>
        <n v="3972"/>
        <n v="5835"/>
        <n v="2990"/>
        <n v="2802"/>
        <n v="4958"/>
        <n v="4551"/>
        <n v="5639"/>
        <n v="3991"/>
        <n v="2794"/>
        <n v="1923"/>
        <n v="4873"/>
        <n v="5750"/>
        <n v="5945"/>
        <n v="2663"/>
        <n v="4742"/>
        <n v="3131"/>
        <n v="4075"/>
        <n v="3398"/>
        <n v="1631"/>
        <n v="5393"/>
        <n v="5183"/>
        <n v="1468"/>
        <n v="5404"/>
        <n v="2513"/>
        <n v="2282"/>
        <n v="5315"/>
        <n v="3440"/>
        <n v="4332"/>
        <n v="3535"/>
        <n v="3160"/>
        <n v="3416"/>
        <n v="1846"/>
        <n v="4943"/>
        <n v="4745"/>
        <n v="5007"/>
        <n v="2730"/>
        <n v="1731"/>
        <n v="2877"/>
        <n v="5513"/>
        <n v="5475"/>
        <n v="6226"/>
        <n v="3141"/>
        <n v="5463"/>
        <n v="2653"/>
        <n v="6627"/>
        <n v="3327"/>
        <n v="3231"/>
        <n v="2304"/>
        <n v="2914"/>
        <n v="5205"/>
        <n v="2172"/>
        <n v="1815"/>
        <n v="2073"/>
        <n v="3383"/>
        <n v="3456"/>
        <n v="2693"/>
        <n v="2181"/>
        <n v="4199"/>
        <n v="1736"/>
        <n v="3460"/>
        <n v="2649"/>
        <n v="2409"/>
        <n v="2922"/>
        <n v="3752"/>
        <n v="2589"/>
        <n v="4945"/>
        <n v="4662"/>
        <n v="2263"/>
        <n v="2257"/>
        <n v="3468"/>
        <n v="2913"/>
        <n v="4118"/>
        <n v="3696"/>
        <n v="2671"/>
        <n v="3563"/>
        <n v="2976"/>
        <n v="3168"/>
        <n v="2023"/>
        <n v="1988"/>
        <n v="6146"/>
        <n v="4211"/>
        <n v="6372"/>
        <n v="4683"/>
        <n v="2148"/>
        <n v="4376"/>
        <n v="5200"/>
        <n v="4462"/>
        <n v="1683"/>
        <n v="6585"/>
        <n v="2275"/>
        <n v="4300"/>
        <n v="3149"/>
        <n v="3564"/>
        <n v="6584"/>
        <n v="4305"/>
        <n v="2819"/>
        <n v="3958"/>
        <n v="4535"/>
        <n v="4936"/>
        <n v="4123"/>
        <n v="1619"/>
        <n v="4041"/>
        <n v="1362"/>
        <n v="5484"/>
        <n v="6540"/>
        <n v="2647"/>
        <n v="4633"/>
        <n v="1408"/>
        <n v="4000"/>
        <n v="3209"/>
        <n v="3757"/>
        <n v="2890"/>
        <n v="2432"/>
        <n v="6262"/>
        <n v="5198"/>
        <n v="1946"/>
        <n v="3736"/>
        <n v="5425"/>
        <n v="1722"/>
        <n v="3675"/>
        <n v="6259"/>
        <n v="5695"/>
        <n v="3725"/>
        <n v="6319"/>
        <n v="3111"/>
        <n v="1375"/>
        <n v="2214"/>
        <n v="3041"/>
        <n v="2617"/>
        <n v="2366"/>
        <n v="3449"/>
        <n v="1751"/>
        <n v="5169"/>
        <n v="5856"/>
        <n v="2977"/>
        <n v="6657"/>
        <n v="3250"/>
        <n v="3855"/>
        <n v="6294"/>
        <n v="5374"/>
        <n v="2569"/>
        <n v="4322"/>
        <n v="5556"/>
        <n v="3317"/>
        <n v="1977"/>
        <n v="3920"/>
        <n v="4520"/>
        <n v="3846"/>
        <n v="3422"/>
        <n v="3024"/>
        <n v="4773"/>
        <n v="3241"/>
        <n v="3063"/>
        <n v="4151"/>
        <n v="6317"/>
        <n v="3677"/>
        <n v="5806"/>
        <n v="2383"/>
        <n v="5213"/>
        <n v="2206"/>
        <n v="2165"/>
        <n v="5370"/>
        <n v="5781"/>
        <n v="3513"/>
        <n v="1984"/>
        <n v="2003"/>
        <n v="6115"/>
        <n v="2285"/>
        <n v="2983"/>
        <n v="4892"/>
        <n v="2995"/>
        <n v="3052"/>
        <n v="2011"/>
        <n v="6379"/>
        <n v="3177"/>
        <n v="3311"/>
        <n v="5466"/>
        <n v="1732"/>
        <n v="5210"/>
        <n v="6148"/>
        <n v="6524"/>
        <n v="2655"/>
        <n v="1964"/>
        <n v="3579"/>
        <n v="3643"/>
        <n v="3334"/>
        <n v="4335"/>
        <n v="2192"/>
        <n v="3376"/>
        <n v="1334"/>
        <n v="5511"/>
        <n v="2984"/>
        <n v="5131"/>
        <n v="6530"/>
        <n v="3727"/>
        <n v="6331"/>
        <n v="6356"/>
        <n v="2154"/>
        <n v="1903"/>
        <n v="4320"/>
        <n v="3608"/>
        <n v="1791"/>
        <n v="1793"/>
        <n v="2343"/>
        <n v="2737"/>
        <n v="4222"/>
        <n v="3005"/>
        <n v="2934"/>
        <n v="6062"/>
        <n v="3346"/>
        <n v="2609"/>
        <n v="2763"/>
        <n v="3116"/>
        <n v="5960"/>
        <n v="5712"/>
        <n v="1803"/>
        <n v="2623"/>
        <n v="5286"/>
        <n v="3732"/>
        <n v="2002"/>
        <n v="2996"/>
        <n v="2453"/>
        <n v="6695"/>
        <n v="5080"/>
        <n v="5014"/>
        <n v="5212"/>
        <n v="2968"/>
        <n v="4534"/>
        <n v="2231"/>
        <n v="2108"/>
        <n v="3827"/>
        <n v="3922"/>
        <n v="3055"/>
        <n v="4378"/>
        <n v="1935"/>
        <n v="2474"/>
        <n v="2807"/>
        <n v="5938"/>
        <n v="3707"/>
        <n v="6269"/>
        <n v="2784"/>
        <n v="5038"/>
        <n v="6371"/>
        <n v="3986"/>
        <n v="6038"/>
        <n v="3006"/>
        <n v="5819"/>
        <n v="5707"/>
        <n v="6291"/>
        <n v="6750"/>
        <n v="6092"/>
        <n v="5232"/>
        <n v="2038"/>
        <n v="4008"/>
        <n v="5934"/>
        <n v="4925"/>
        <n v="3917"/>
        <n v="2302"/>
        <n v="3992"/>
        <n v="2958"/>
        <n v="4686"/>
        <n v="5125"/>
        <n v="6779"/>
        <n v="6780"/>
        <n v="3906"/>
        <n v="4372"/>
        <n v="3053"/>
        <n v="3042"/>
        <n v="4847"/>
        <n v="3259"/>
        <n v="2923"/>
        <n v="3070"/>
        <n v="4186"/>
        <n v="2124"/>
        <n v="3837"/>
        <n v="4763"/>
        <n v="2636"/>
        <n v="4135"/>
        <n v="5053"/>
        <n v="3321"/>
        <n v="2723"/>
        <n v="1464"/>
        <n v="1904"/>
        <n v="3562"/>
        <n v="5693"/>
        <n v="4924"/>
        <n v="3631"/>
        <n v="2843"/>
        <n v="4085"/>
        <n v="3674"/>
        <n v="1973"/>
        <n v="4334"/>
        <n v="2686"/>
        <n v="5875"/>
        <n v="6209"/>
        <n v="3637"/>
        <n v="5419"/>
        <n v="6579"/>
        <n v="2324"/>
        <n v="5897"/>
        <n v="1929"/>
        <n v="1651"/>
        <n v="4183"/>
        <n v="6394"/>
        <n v="6060"/>
        <n v="6080"/>
        <n v="5802"/>
        <n v="6265"/>
        <n v="5433"/>
        <n v="4746"/>
        <n v="6111"/>
        <n v="6504"/>
        <n v="1934"/>
        <n v="2844"/>
        <n v="4711"/>
        <n v="6227"/>
        <n v="6769"/>
        <n v="2310"/>
        <n v="1865"/>
        <n v="1859"/>
        <n v="5886"/>
        <n v="1481"/>
        <n v="2333"/>
        <n v="3762"/>
        <n v="6172"/>
        <n v="3802"/>
        <n v="4946"/>
        <n v="3979"/>
        <n v="5632"/>
        <n v="6559"/>
        <n v="4196"/>
        <n v="2499"/>
        <n v="5054"/>
        <n v="6114"/>
        <n v="2599"/>
        <n v="4061"/>
        <n v="3799"/>
        <n v="5407"/>
        <n v="4086"/>
        <n v="3678"/>
        <n v="3260"/>
        <n v="4570"/>
        <n v="4645"/>
        <n v="4190"/>
        <n v="2110"/>
        <n v="3994"/>
        <n v="6403"/>
        <n v="3509"/>
        <n v="4691"/>
        <n v="2140"/>
        <n v="3884"/>
        <n v="4783"/>
        <n v="3895"/>
        <n v="2683"/>
        <n v="5917"/>
        <n v="4022"/>
        <n v="2197"/>
        <n v="5768"/>
        <n v="5390"/>
        <n v="4308"/>
        <n v="5436"/>
        <n v="2424"/>
        <n v="1553"/>
        <n v="3008"/>
        <n v="2869"/>
        <n v="2427"/>
        <n v="2771"/>
        <n v="1878"/>
        <n v="5240"/>
        <n v="6164"/>
        <n v="3363"/>
        <n v="5420"/>
        <n v="4568"/>
        <n v="1612"/>
        <n v="2691"/>
        <n v="6069"/>
        <n v="3962"/>
        <n v="2772"/>
        <n v="2268"/>
        <n v="3387"/>
        <n v="3056"/>
        <n v="3616"/>
        <n v="2483"/>
        <n v="6763"/>
        <n v="4904"/>
        <n v="5522"/>
        <n v="3602"/>
        <n v="2133"/>
        <n v="2657"/>
        <n v="5868"/>
        <n v="4212"/>
        <n v="5244"/>
        <n v="2293"/>
        <n v="6142"/>
        <n v="1823"/>
        <n v="5930"/>
        <n v="1976"/>
        <n v="5705"/>
        <n v="6736"/>
        <n v="5778"/>
        <n v="5482"/>
        <n v="3446"/>
        <n v="3223"/>
        <n v="5078"/>
        <n v="4166"/>
        <n v="5841"/>
        <n v="2493"/>
        <n v="2085"/>
        <n v="5384"/>
        <n v="3382"/>
        <n v="4610"/>
        <n v="3831"/>
        <n v="5464"/>
        <n v="4360"/>
        <n v="6070"/>
        <n v="6571"/>
        <n v="3242"/>
        <n v="3911"/>
        <n v="6601"/>
        <n v="3358"/>
        <n v="5902"/>
        <n v="5497"/>
        <n v="5468"/>
        <n v="6015"/>
        <n v="2015"/>
        <n v="1851"/>
        <n v="3954"/>
        <n v="4327"/>
        <n v="4301"/>
        <n v="2312"/>
        <n v="4133"/>
        <n v="4038"/>
        <n v="2534"/>
        <n v="2531"/>
        <n v="6544"/>
        <n v="6093"/>
        <n v="5974"/>
        <n v="2823"/>
        <n v="2129"/>
        <n v="6304"/>
        <n v="6125"/>
        <n v="3620"/>
        <n v="4541"/>
        <n v="5141"/>
        <n v="2554"/>
        <n v="5969"/>
        <n v="3603"/>
        <n v="6187"/>
        <n v="3165"/>
        <n v="4861"/>
        <n v="2836"/>
        <n v="4168"/>
        <n v="2134"/>
        <n v="6682"/>
        <n v="3649"/>
        <n v="2577"/>
        <n v="2594"/>
        <n v="2735"/>
        <n v="2074"/>
        <n v="6325"/>
        <n v="1958"/>
        <n v="1323"/>
        <n v="2314"/>
        <n v="6077"/>
        <n v="2223"/>
        <n v="4439"/>
        <n v="6193"/>
        <n v="5864"/>
        <n v="2121"/>
        <n v="4200"/>
        <n v="3680"/>
        <n v="2219"/>
        <n v="1932"/>
        <n v="3990"/>
        <n v="2630"/>
        <n v="4206"/>
        <n v="1963"/>
        <n v="4557"/>
        <n v="4903"/>
        <n v="2210"/>
        <n v="2171"/>
        <n v="2320"/>
        <n v="3333"/>
        <n v="2595"/>
        <n v="1659"/>
        <n v="4505"/>
        <n v="2585"/>
        <n v="4619"/>
        <n v="2042"/>
        <n v="6555"/>
        <n v="4758"/>
        <n v="2317"/>
        <n v="3084"/>
        <n v="5335"/>
        <n v="2776"/>
        <n v="5694"/>
        <n v="2583"/>
        <n v="4309"/>
        <n v="6598"/>
        <n v="2022"/>
        <n v="1942"/>
        <n v="6644"/>
        <n v="2563"/>
        <n v="2940"/>
        <n v="1364"/>
        <n v="2759"/>
        <n v="5377"/>
        <n v="4602"/>
        <n v="4202"/>
        <n v="6520"/>
        <n v="2743"/>
        <n v="1636"/>
        <n v="1875"/>
        <n v="3288"/>
        <n v="3013"/>
        <n v="4841"/>
        <n v="5588"/>
        <n v="4080"/>
        <n v="6659"/>
        <n v="2501"/>
        <n v="6457"/>
        <n v="1813"/>
        <n v="1794"/>
        <n v="4270"/>
        <n v="2351"/>
        <n v="3263"/>
        <n v="2059"/>
        <n v="3630"/>
        <n v="3080"/>
        <n v="4853"/>
        <n v="5082"/>
        <n v="1953"/>
        <n v="3891"/>
        <n v="4768"/>
        <n v="4413"/>
        <n v="4130"/>
        <n v="4047"/>
        <n v="6002"/>
        <n v="4279"/>
        <n v="6247"/>
        <n v="6357"/>
        <n v="6037"/>
        <n v="3043"/>
        <n v="1409"/>
        <n v="4278"/>
        <n v="3458"/>
        <n v="2527"/>
        <n v="1873"/>
        <n v="2155"/>
        <n v="1400"/>
        <n v="2484"/>
        <n v="1917"/>
        <n v="2696"/>
        <n v="4214"/>
        <n v="4695"/>
        <n v="4191"/>
        <n v="3239"/>
        <n v="2580"/>
        <n v="1786"/>
        <n v="2212"/>
        <n v="3033"/>
        <n v="1884"/>
        <n v="1690"/>
        <n v="4256"/>
        <n v="6462"/>
        <n v="5181"/>
        <n v="4932"/>
        <n v="4978"/>
        <n v="6449"/>
        <n v="3794"/>
        <n v="2790"/>
        <n v="5503"/>
        <n v="4245"/>
        <n v="1698"/>
        <n v="2469"/>
        <n v="6151"/>
        <n v="2425"/>
        <n v="6665"/>
        <n v="6297"/>
        <n v="2348"/>
        <n v="3754"/>
        <n v="2706"/>
        <n v="6660"/>
        <n v="5452"/>
        <n v="5821"/>
        <n v="1536"/>
        <n v="3862"/>
        <n v="3851"/>
        <n v="5401"/>
        <n v="2644"/>
        <n v="6722"/>
        <n v="3462"/>
        <n v="1894"/>
        <n v="6641"/>
        <n v="5911"/>
        <n v="5287"/>
        <n v="3441"/>
        <n v="4201"/>
        <n v="6468"/>
        <n v="2665"/>
        <n v="4033"/>
        <n v="3873"/>
        <n v="2544"/>
        <n v="2401"/>
        <n v="3731"/>
        <n v="5012"/>
        <n v="3232"/>
        <n v="2261"/>
        <n v="2415"/>
        <n v="5274"/>
        <n v="3635"/>
        <n v="3544"/>
        <n v="2903"/>
        <n v="1975"/>
        <n v="3322"/>
        <n v="2443"/>
        <n v="5925"/>
        <n v="3062"/>
        <n v="2358"/>
        <n v="2326"/>
        <n v="4866"/>
        <n v="5626"/>
        <n v="5855"/>
        <n v="2917"/>
        <n v="6079"/>
        <n v="3292"/>
        <n v="1920"/>
        <n v="3424"/>
        <n v="4265"/>
        <n v="2279"/>
        <n v="4508"/>
        <n v="3977"/>
        <n v="2377"/>
        <n v="3516"/>
        <n v="2739"/>
        <n v="2975"/>
        <n v="1385"/>
        <n v="4262"/>
        <n v="4104"/>
        <n v="3935"/>
        <n v="4398"/>
        <n v="1515"/>
        <n v="3970"/>
        <n v="4893"/>
        <n v="3617"/>
        <n v="5089"/>
        <n v="2668"/>
        <n v="3771"/>
        <n v="4247"/>
        <n v="2392"/>
        <n v="3130"/>
        <n v="1758"/>
        <n v="1333"/>
        <n v="3570"/>
        <n v="5949"/>
        <n v="2000"/>
        <n v="5631"/>
        <n v="5220"/>
        <n v="3693"/>
        <n v="3274"/>
        <n v="2041"/>
        <n v="2295"/>
        <n v="6720"/>
        <n v="2766"/>
        <n v="2416"/>
        <n v="4714"/>
        <n v="3902"/>
        <n v="5906"/>
        <n v="3300"/>
        <n v="2308"/>
        <n v="4399"/>
        <n v="5365"/>
        <n v="3874"/>
        <n v="2063"/>
        <n v="1467"/>
        <n v="4097"/>
        <n v="4102"/>
        <n v="1754"/>
        <n v="1531"/>
        <n v="3825"/>
      </sharedItems>
      <fieldGroup base="5">
        <rangePr autoStart="0" autoEnd="0" startNum="1500" endNum="6000" groupInterval="1000"/>
        <groupItems count="7">
          <s v="&lt;1500"/>
          <s v="1500-2499"/>
          <s v="2500-3499"/>
          <s v="3500-4499"/>
          <s v="4500-5499"/>
          <s v="5500-6000"/>
          <s v="&gt;6000"/>
        </groupItems>
      </fieldGroup>
    </cacheField>
    <cacheField name="Saldo Investido" numFmtId="0">
      <sharedItems count="4">
        <s v="Abaixo R$1.500"/>
        <s v="Não Possui"/>
        <s v="Entre R$1500 a R$10.000"/>
        <s v="Acima de R$10.000"/>
      </sharedItems>
    </cacheField>
    <cacheField name="Saldo Conta Corrente" numFmtId="0">
      <sharedItems count="4">
        <s v="Abaixo de R$1.500"/>
        <s v="Sem conta"/>
        <s v="Entre R$1.500 a R$5.000"/>
        <s v="Acima de R$5.000"/>
      </sharedItems>
    </cacheField>
    <cacheField name=" Valor Emprestimo " numFmtId="183">
      <sharedItems containsSemiMixedTypes="0" containsString="0" containsNumber="1" minValue="225" maxValue="35079" count="1062">
        <n v="8640.5"/>
        <n v="1478.4"/>
        <n v="6400.8"/>
        <n v="2154.6"/>
        <n v="2088"/>
        <n v="3321"/>
        <n v="4592.7"/>
        <n v="817.2"/>
        <n v="308.7"/>
        <n v="7535"/>
        <n v="3448.8"/>
        <n v="2092.2"/>
        <n v="2575.8"/>
        <n v="2018.5"/>
        <n v="688.6"/>
        <n v="2487.6"/>
        <n v="9262"/>
        <n v="2484"/>
        <n v="5921.1"/>
        <n v="2519.1"/>
        <n v="10337.8"/>
        <n v="4296.6"/>
        <n v="2894.1"/>
        <n v="1439.9"/>
        <n v="1708.2"/>
        <n v="797.4"/>
        <n v="1623.6"/>
        <n v="408.6"/>
        <n v="4001.8"/>
        <n v="5358.6"/>
        <n v="1268.1"/>
        <n v="819.5"/>
        <n v="2559.7"/>
        <n v="2151"/>
        <n v="6757.3"/>
        <n v="1082.7"/>
        <n v="1209.6"/>
        <n v="9168.5"/>
        <n v="9224.6"/>
        <n v="3581.1"/>
        <n v="1054.9"/>
        <n v="2020.7"/>
        <n v="5821.2"/>
        <n v="225"/>
        <n v="4462.7"/>
        <n v="1926.9"/>
        <n v="1309"/>
        <n v="2844"/>
        <n v="1490.5"/>
        <n v="6154.5"/>
        <n v="1158.3"/>
        <n v="9051.9"/>
        <n v="1692.9"/>
        <n v="2700.9"/>
        <n v="526.5"/>
        <n v="7751.7"/>
        <n v="4232.8"/>
        <n v="5139.9"/>
        <n v="31726.2"/>
        <n v="11283.8"/>
        <n v="2691.9"/>
        <n v="4025.7"/>
        <n v="7623.9"/>
        <n v="1236.6"/>
        <n v="8609.4"/>
        <n v="1041.7"/>
        <n v="6668.2"/>
        <n v="1493.8"/>
        <n v="6728.4"/>
        <n v="6505.2"/>
        <n v="3471.3"/>
        <n v="1646.1"/>
        <n v="1276.2"/>
        <n v="2547.9"/>
        <n v="6270.3"/>
        <n v="5257.8"/>
        <n v="2509.2"/>
        <n v="3103.2"/>
        <n v="3058.2"/>
        <n v="1137.6"/>
        <n v="1116"/>
        <n v="3983.1"/>
        <n v="2782.8"/>
        <n v="4010.6"/>
        <n v="7433.8"/>
        <n v="7559.2"/>
        <n v="4368.6"/>
        <n v="35079"/>
        <n v="5463"/>
        <n v="645.3"/>
        <n v="3144.6"/>
        <n v="3166.2"/>
        <n v="1990.8"/>
        <n v="972.4"/>
        <n v="4354.9"/>
        <n v="1387.8"/>
        <n v="1309.5"/>
        <n v="3007.8"/>
        <n v="6823.8"/>
        <n v="4077"/>
        <n v="9429.3"/>
        <n v="2131.8"/>
        <n v="383.4"/>
        <n v="4723.2"/>
        <n v="2769.3"/>
        <n v="3401.2"/>
        <n v="3755.4"/>
        <n v="11320.2"/>
        <n v="3418.8"/>
        <n v="15429.7"/>
        <n v="5220.6"/>
        <n v="2862.9"/>
        <n v="877.5"/>
        <n v="586.8"/>
        <n v="3844.8"/>
        <n v="1368.9"/>
        <n v="1992.6"/>
        <n v="2403"/>
        <n v="613.8"/>
        <n v="13703.8"/>
        <n v="3855.6"/>
        <n v="836.1"/>
        <n v="2092.5"/>
        <n v="1352.7"/>
        <n v="1249.2"/>
        <n v="1013.4"/>
        <n v="3752.1"/>
        <n v="1170.9"/>
        <n v="2911.5"/>
        <n v="1568.7"/>
        <n v="973.8"/>
        <n v="6157.8"/>
        <n v="1502.6"/>
        <n v="1345.3"/>
        <n v="2551.5"/>
        <n v="1562.4"/>
        <n v="2256.3"/>
        <n v="6084.9"/>
        <n v="2906.1"/>
        <n v="982.8"/>
        <n v="1852.2"/>
        <n v="678.6"/>
        <n v="2573.1"/>
        <n v="4959.9"/>
        <n v="13514.6"/>
        <n v="5095.8"/>
        <n v="4833.9"/>
        <n v="1249.6"/>
        <n v="14207.6"/>
        <n v="1079.1"/>
        <n v="2431"/>
        <n v="3790.6"/>
        <n v="1442.7"/>
        <n v="637.2"/>
        <n v="1326.6"/>
        <n v="2055.6"/>
        <n v="8492.4"/>
        <n v="305.1"/>
        <n v="2477.7"/>
        <n v="15749.8"/>
        <n v="1370.6"/>
        <n v="3382.2"/>
        <n v="3040.2"/>
        <n v="2545.2"/>
        <n v="2824.2"/>
        <n v="10100.2"/>
        <n v="2336.4"/>
        <n v="1795.5"/>
        <n v="4708"/>
        <n v="6527.7"/>
        <n v="925.2"/>
        <n v="1977.3"/>
        <n v="1243.8"/>
        <n v="1304.1"/>
        <n v="2983.2"/>
        <n v="1179.9"/>
        <n v="1112.4"/>
        <n v="5634"/>
        <n v="837"/>
        <n v="3043.7"/>
        <n v="17239.2"/>
        <n v="3087"/>
        <n v="7041.6"/>
        <n v="4197.6"/>
        <n v="3683.9"/>
        <n v="1586.2"/>
        <n v="2150.1"/>
        <n v="1080.9"/>
        <n v="1161.9"/>
        <n v="1006.5"/>
        <n v="4738.8"/>
        <n v="1190.7"/>
        <n v="1909.8"/>
        <n v="2411.1"/>
        <n v="8723"/>
        <n v="1741.5"/>
        <n v="435.6"/>
        <n v="899.1"/>
        <n v="5327.3"/>
        <n v="5261.4"/>
        <n v="2693.7"/>
        <n v="2563.2"/>
        <n v="1811.7"/>
        <n v="3285.9"/>
        <n v="4073.4"/>
        <n v="5426.3"/>
        <n v="12761.1"/>
        <n v="636.3"/>
        <n v="2117.7"/>
        <n v="3200.4"/>
        <n v="1837"/>
        <n v="1369.5"/>
        <n v="1147.5"/>
        <n v="1224.9"/>
        <n v="2997.9"/>
        <n v="2646.6"/>
        <n v="1734.3"/>
        <n v="6846.4"/>
        <n v="6818.9"/>
        <n v="1579.5"/>
        <n v="1169.1"/>
        <n v="6012.9"/>
        <n v="4791.6"/>
        <n v="721.8"/>
        <n v="1922.4"/>
        <n v="1746.9"/>
        <n v="16010.5"/>
        <n v="3278.7"/>
        <n v="7891.4"/>
        <n v="882.2"/>
        <n v="9787.5"/>
        <n v="10952.1"/>
        <n v="4349.4"/>
        <n v="4305.4"/>
        <n v="4118.4"/>
        <n v="7575.7"/>
        <n v="3356.1"/>
        <n v="6916.8"/>
        <n v="1672.2"/>
        <n v="2594.9"/>
        <n v="2772"/>
        <n v="2185.7"/>
        <n v="5279.4"/>
        <n v="1865.7"/>
        <n v="1447.2"/>
        <n v="2836.9"/>
        <n v="1052.1"/>
        <n v="1244.1"/>
        <n v="2532.2"/>
        <n v="3481.2"/>
        <n v="1150.2"/>
        <n v="657"/>
        <n v="10584"/>
        <n v="4671"/>
        <n v="412.2"/>
        <n v="2924.1"/>
        <n v="1378.8"/>
        <n v="2470.6"/>
        <n v="2097.9"/>
        <n v="704.7"/>
        <n v="2385.9"/>
        <n v="5263.2"/>
        <n v="1398.1"/>
        <n v="2077.2"/>
        <n v="944.1"/>
        <n v="12057.1"/>
        <n v="2090.7"/>
        <n v="24114.2"/>
        <n v="2319.3"/>
        <n v="2366.1"/>
        <n v="6982.2"/>
        <n v="2120.8"/>
        <n v="3231"/>
        <n v="5209.6"/>
        <n v="4211.1"/>
        <n v="4309.2"/>
        <n v="4184.4"/>
        <n v="3079.8"/>
        <n v="2619"/>
        <n v="4540.5"/>
        <n v="1394.1"/>
        <n v="1732.5"/>
        <n v="7169.4"/>
        <n v="1482.8"/>
        <n v="1372.5"/>
        <n v="2242.9"/>
        <n v="2351.7"/>
        <n v="2891.7"/>
        <n v="4324.1"/>
        <n v="1825.2"/>
        <n v="1470.7"/>
        <n v="3208.5"/>
        <n v="3425.4"/>
        <n v="7638.3"/>
        <n v="1721.7"/>
        <n v="1684.8"/>
        <n v="9560.7"/>
        <n v="719.4"/>
        <n v="1845.9"/>
        <n v="3160.8"/>
        <n v="1300.5"/>
        <n v="2794.5"/>
        <n v="8871.5"/>
        <n v="1218.8"/>
        <n v="7090.2"/>
        <n v="3476.7"/>
        <n v="513.9"/>
        <n v="3234.6"/>
        <n v="6964.1"/>
        <n v="3679.5"/>
        <n v="6449.4"/>
        <n v="7729.2"/>
        <n v="7510.8"/>
        <n v="614.7"/>
        <n v="2811.6"/>
        <n v="5605.6"/>
        <n v="12071.4"/>
        <n v="4636.8"/>
        <n v="1337.6"/>
        <n v="2270.4"/>
        <n v="2016.9"/>
        <n v="385.2"/>
        <n v="8539.3"/>
        <n v="3059.1"/>
        <n v="5416.4"/>
        <n v="779.9"/>
        <n v="8613"/>
        <n v="3725.1"/>
        <n v="1714.5"/>
        <n v="996.3"/>
        <n v="2521.2"/>
        <n v="5696.9"/>
        <n v="1170"/>
        <n v="1753.4"/>
        <n v="3484.8"/>
        <n v="1227.6"/>
        <n v="4521"/>
        <n v="3575.7"/>
        <n v="6851.9"/>
        <n v="1827"/>
        <n v="1146.2"/>
        <n v="766.7"/>
        <n v="1115.1"/>
        <n v="2059.2"/>
        <n v="884.7"/>
        <n v="760.1"/>
        <n v="2045.7"/>
        <n v="4329.9"/>
        <n v="12898.8"/>
        <n v="1967.4"/>
        <n v="2051.1"/>
        <n v="2264.4"/>
        <n v="2096.1"/>
        <n v="4726.7"/>
        <n v="1338.7"/>
        <n v="3848.9"/>
        <n v="761.4"/>
        <n v="2228.4"/>
        <n v="1572.3"/>
        <n v="2536.2"/>
        <n v="968.4"/>
        <n v="1045"/>
        <n v="1580.7"/>
        <n v="3211.2"/>
        <n v="1824.9"/>
        <n v="2259.9"/>
        <n v="6580.8"/>
        <n v="3302.2"/>
        <n v="992.7"/>
        <n v="3465"/>
        <n v="2488.2"/>
        <n v="13307.4"/>
        <n v="6537.3"/>
        <n v="2407.5"/>
        <n v="3295.6"/>
        <n v="2860"/>
        <n v="8651.5"/>
        <n v="5168.7"/>
        <n v="1391.4"/>
        <n v="684"/>
        <n v="2024.1"/>
        <n v="741.4"/>
        <n v="1009.8"/>
        <n v="4302"/>
        <n v="12315.6"/>
        <n v="1165.5"/>
        <n v="562.5"/>
        <n v="1904.4"/>
        <n v="10529.2"/>
        <n v="1589.4"/>
        <n v="13836.9"/>
        <n v="2320.2"/>
        <n v="3020.6"/>
        <n v="9512.8"/>
        <n v="2887.5"/>
        <n v="1543.5"/>
        <n v="2661.3"/>
        <n v="12749"/>
        <n v="4635"/>
        <n v="906.3"/>
        <n v="469.8"/>
        <n v="5085.3"/>
        <n v="346.5"/>
        <n v="2475.9"/>
        <n v="5470.2"/>
        <n v="1575"/>
        <n v="492.8"/>
        <n v="2310"/>
        <n v="1348.2"/>
        <n v="12716"/>
        <n v="1085.4"/>
        <n v="5681.7"/>
        <n v="6724.8"/>
        <n v="2718.9"/>
        <n v="2014.2"/>
        <n v="1098.9"/>
        <n v="1190.2"/>
        <n v="3724.6"/>
        <n v="1695.6"/>
        <n v="1181.7"/>
        <n v="1819.8"/>
        <n v="3722.4"/>
        <n v="3137.4"/>
        <n v="1566"/>
        <n v="15044.4"/>
        <n v="1414.8"/>
        <n v="1306.8"/>
        <n v="5065.5"/>
        <n v="248.4"/>
        <n v="630.9"/>
        <n v="1167.3"/>
        <n v="1114.2"/>
        <n v="2503.8"/>
        <n v="1354.5"/>
        <n v="1253.7"/>
        <n v="3557.4"/>
        <n v="2165.4"/>
        <n v="1362.6"/>
        <n v="2069.1"/>
        <n v="1384.2"/>
        <n v="1235.3"/>
        <n v="12997.6"/>
        <n v="2234.7"/>
        <n v="1687.4"/>
        <n v="2415.6"/>
        <n v="4306.5"/>
        <n v="3008.7"/>
        <n v="1091.7"/>
        <n v="1708.3"/>
        <n v="1524.6"/>
        <n v="10591.9"/>
        <n v="2533.3"/>
        <n v="26263.6"/>
        <n v="2630.7"/>
        <n v="1383.3"/>
        <n v="6546.1"/>
        <n v="786.6"/>
        <n v="3785.1"/>
        <n v="1317.8"/>
        <n v="3521.7"/>
        <n v="1700.6"/>
        <n v="1345.5"/>
        <n v="20266.4"/>
        <n v="2113.2"/>
        <n v="1102.5"/>
        <n v="2215.8"/>
        <n v="10441.2"/>
        <n v="11644.6"/>
        <n v="1698.3"/>
        <n v="3334.1"/>
        <n v="8354.7"/>
        <n v="4240.8"/>
        <n v="1746"/>
        <n v="3402"/>
        <n v="864"/>
        <n v="17281"/>
        <n v="2083.5"/>
        <n v="14273.6"/>
        <n v="3285"/>
        <n v="1046.7"/>
        <n v="825"/>
        <n v="7057.6"/>
        <n v="594"/>
        <n v="1680.3"/>
        <n v="2470.5"/>
        <n v="3490.2"/>
        <n v="1801.8"/>
        <n v="1360.7"/>
        <n v="6653.7"/>
        <n v="14271.3"/>
        <n v="331.2"/>
        <n v="1281.6"/>
        <n v="5146.2"/>
        <n v="5167.8"/>
        <n v="531"/>
        <n v="8894.6"/>
        <n v="2128.5"/>
        <n v="1212.3"/>
        <n v="1397.7"/>
        <n v="1663.2"/>
        <n v="1299.6"/>
        <n v="752.4"/>
        <n v="1038.6"/>
        <n v="566.1"/>
        <n v="1955.8"/>
        <n v="6910.2"/>
        <n v="6985"/>
        <n v="10198.1"/>
        <n v="4631"/>
        <n v="1262.7"/>
        <n v="5220.9"/>
        <n v="2129.4"/>
        <n v="2111.4"/>
        <n v="1416.6"/>
        <n v="3270.6"/>
        <n v="1132.2"/>
        <n v="2269.8"/>
        <n v="1057.5"/>
        <n v="1620"/>
        <n v="1685.2"/>
        <n v="2622.4"/>
        <n v="1119.6"/>
        <n v="799.7"/>
        <n v="3545.1"/>
        <n v="4207.5"/>
        <n v="14229.6"/>
        <n v="1129.5"/>
        <n v="2820.4"/>
        <n v="876.7"/>
        <n v="3294"/>
        <n v="1703.7"/>
        <n v="2458.5"/>
        <n v="2103.3"/>
        <n v="5568.3"/>
        <n v="2867.4"/>
        <n v="2427.3"/>
        <n v="1953.9"/>
        <n v="790.9"/>
        <n v="6597.8"/>
        <n v="1197"/>
        <n v="3360.6"/>
        <n v="2714.4"/>
        <n v="1710.9"/>
        <n v="793.8"/>
        <n v="2725.2"/>
        <n v="12460.8"/>
        <n v="2715.3"/>
        <n v="3158.1"/>
        <n v="2178"/>
        <n v="2419.2"/>
        <n v="5673.6"/>
        <n v="4244.4"/>
        <n v="1398.6"/>
        <n v="2680.2"/>
        <n v="939.6"/>
        <n v="3366"/>
        <n v="27746.4"/>
        <n v="3407.4"/>
        <n v="1368"/>
        <n v="3215.7"/>
        <n v="10956"/>
        <n v="2312.1"/>
        <n v="7114.8"/>
        <n v="2631.6"/>
        <n v="1413.5"/>
        <n v="4191.3"/>
        <n v="1373.4"/>
        <n v="5193.9"/>
        <n v="5953.5"/>
        <n v="4406.6"/>
        <n v="3554.1"/>
        <n v="874.5"/>
        <n v="3713.4"/>
        <n v="934.2"/>
        <n v="7319.7"/>
        <n v="1402.5"/>
        <n v="630"/>
        <n v="4524.3"/>
        <n v="7216"/>
        <n v="1508.1"/>
        <n v="804.6"/>
        <n v="1186.2"/>
        <n v="3308.4"/>
        <n v="7032.6"/>
        <n v="3219.3"/>
        <n v="2124"/>
        <n v="1432.8"/>
        <n v="1325.7"/>
        <n v="2395.8"/>
        <n v="6942.6"/>
        <n v="4316.4"/>
        <n v="2637"/>
        <n v="21058.4"/>
        <n v="1424.5"/>
        <n v="1389.6"/>
        <n v="4673.9"/>
        <n v="1126.4"/>
        <n v="1307.7"/>
        <n v="2197.8"/>
        <n v="933.3"/>
        <n v="4956.3"/>
        <n v="1388.7"/>
        <n v="2349.9"/>
        <n v="7522.2"/>
        <n v="3386.7"/>
        <n v="2726.1"/>
        <n v="1888.2"/>
        <n v="711"/>
        <n v="2753.1"/>
        <n v="1742.4"/>
        <n v="2359.8"/>
        <n v="2345.4"/>
        <n v="2834.1"/>
        <n v="1189.8"/>
        <n v="3220.2"/>
        <n v="1591.2"/>
        <n v="1313.1"/>
        <n v="556.2"/>
        <n v="638.1"/>
        <n v="5357"/>
        <n v="2667.6"/>
        <n v="1617.3"/>
        <n v="1740.6"/>
        <n v="1154.7"/>
        <n v="3124.8"/>
        <n v="4889.7"/>
        <n v="1897.2"/>
        <n v="5368.5"/>
        <n v="1431.9"/>
        <n v="4900.5"/>
        <n v="3637.8"/>
        <n v="1625.8"/>
        <n v="7437.1"/>
        <n v="15782.8"/>
        <n v="686.7"/>
        <n v="4895"/>
        <n v="8149.5"/>
        <n v="3650.4"/>
        <n v="992.2"/>
        <n v="4293.9"/>
        <n v="352.8"/>
        <n v="1564.2"/>
        <n v="1710.5"/>
        <n v="5757.4"/>
        <n v="1066.5"/>
        <n v="1419.3"/>
        <n v="540.9"/>
        <n v="1403.1"/>
        <n v="1364"/>
        <n v="2989.8"/>
        <n v="943.2"/>
        <n v="1034.1"/>
        <n v="1919.7"/>
        <n v="3735.9"/>
        <n v="3268.8"/>
        <n v="2114.2"/>
        <n v="1261.8"/>
        <n v="657.9"/>
        <n v="1856.7"/>
        <n v="2365"/>
        <n v="1001.7"/>
        <n v="3563.1"/>
        <n v="7519.6"/>
        <n v="2833.2"/>
        <n v="2163.6"/>
        <n v="1412.1"/>
        <n v="4257"/>
        <n v="4217.4"/>
        <n v="4842.9"/>
        <n v="6866.1"/>
        <n v="9129.6"/>
        <n v="2181.6"/>
        <n v="548.1"/>
        <n v="8871.3"/>
        <n v="990.9"/>
        <n v="3102.3"/>
        <n v="1107.9"/>
        <n v="3618"/>
        <n v="2483.1"/>
        <n v="5682.6"/>
        <n v="2099.7"/>
        <n v="756.9"/>
        <n v="815.1"/>
        <n v="2530.8"/>
        <n v="1660.5"/>
        <n v="1323.9"/>
        <n v="1329.9"/>
        <n v="4620"/>
        <n v="816.3"/>
        <n v="1441.8"/>
        <n v="6067.8"/>
        <n v="4008.6"/>
        <n v="3074.4"/>
        <n v="1271.7"/>
        <n v="3136.5"/>
        <n v="1327.7"/>
        <n v="5503.3"/>
        <n v="5583.6"/>
        <n v="3255.3"/>
        <n v="7093.8"/>
        <n v="2263.5"/>
        <n v="1251.9"/>
        <n v="1761.3"/>
        <n v="1437.3"/>
        <n v="11139.7"/>
        <n v="5952.6"/>
        <n v="3181.5"/>
        <n v="2116.4"/>
        <n v="2720.3"/>
        <n v="1785.6"/>
        <n v="1410.3"/>
        <n v="11474.1"/>
        <n v="2771.1"/>
        <n v="1032.9"/>
        <n v="2437.6"/>
        <n v="1039.5"/>
        <n v="2827"/>
        <n v="3259.8"/>
        <n v="16467"/>
        <n v="5777.1"/>
        <n v="9801"/>
        <n v="2762.1"/>
        <n v="2342.7"/>
        <n v="725.4"/>
        <n v="1344.6"/>
        <n v="1931.4"/>
        <n v="3146.4"/>
        <n v="1512"/>
        <n v="2000.7"/>
        <n v="945"/>
        <n v="5126.4"/>
        <n v="16260.2"/>
        <n v="2148.3"/>
        <n v="3052.5"/>
        <n v="1984.4"/>
        <n v="1410.2"/>
        <n v="942.3"/>
        <n v="2070.9"/>
        <n v="2602.8"/>
        <n v="2318.4"/>
        <n v="6462"/>
        <n v="1184.4"/>
        <n v="1872"/>
        <n v="6348.6"/>
        <n v="2636.7"/>
        <n v="3477.1"/>
        <n v="1731.6"/>
        <n v="1211.4"/>
        <n v="6422.4"/>
        <n v="8236.8"/>
        <n v="476.3"/>
        <n v="6514.2"/>
        <n v="2029.5"/>
        <n v="8052.3"/>
        <n v="3209.4"/>
        <n v="2393.1"/>
        <n v="3042"/>
        <n v="1135.8"/>
        <n v="3139.2"/>
        <n v="1224"/>
        <n v="1101.6"/>
        <n v="3250.8"/>
        <n v="2022.3"/>
        <n v="2584.8"/>
        <n v="4943.7"/>
        <n v="1330.2"/>
        <n v="1638"/>
        <n v="5911.2"/>
        <n v="1810.8"/>
        <n v="976.8"/>
        <n v="1686.3"/>
        <n v="3239.1"/>
        <n v="466.2"/>
        <n v="9418.2"/>
        <n v="862.2"/>
        <n v="10983.6"/>
        <n v="9453.4"/>
        <n v="1177.2"/>
        <n v="325.8"/>
        <n v="1764.9"/>
        <n v="3399.3"/>
        <n v="2145.6"/>
        <n v="32021"/>
        <n v="2609.1"/>
        <n v="1674"/>
        <n v="9937.4"/>
        <n v="8778"/>
        <n v="2252.7"/>
        <n v="3451.5"/>
        <n v="1479.5"/>
        <n v="5533.2"/>
        <n v="1766.7"/>
        <n v="1435.5"/>
        <n v="1269"/>
        <n v="5660.1"/>
        <n v="5499"/>
        <n v="1998.9"/>
        <n v="2013"/>
        <n v="2447.5"/>
        <n v="1042.2"/>
        <n v="3907.2"/>
        <n v="1312.3"/>
        <n v="3021.3"/>
        <n v="2838"/>
        <n v="779.4"/>
        <n v="8241.3"/>
        <n v="1208.7"/>
        <n v="3942"/>
        <n v="3286.8"/>
        <n v="7697.8"/>
        <n v="1727.1"/>
        <n v="2755.8"/>
        <n v="988.2"/>
        <n v="1083.6"/>
        <n v="1270.8"/>
        <n v="1073.6"/>
        <n v="6351.3"/>
        <n v="1519.1"/>
        <n v="22948.2"/>
        <n v="1046.1"/>
        <n v="11842.2"/>
        <n v="4362.6"/>
        <n v="1024.2"/>
        <n v="4575.6"/>
        <n v="1160.1"/>
        <n v="919.6"/>
        <n v="1665.9"/>
        <n v="7698.9"/>
        <n v="1768.5"/>
        <n v="8148.8"/>
        <n v="818.1"/>
        <n v="878.4"/>
        <n v="3514.5"/>
        <n v="5524.2"/>
        <n v="698.4"/>
        <n v="1318.9"/>
        <n v="1396.8"/>
        <n v="1651.1"/>
        <n v="2137.3"/>
        <n v="2000.9"/>
        <n v="576"/>
        <n v="1458"/>
        <n v="3435.3"/>
        <n v="834.9"/>
        <n v="1204.2"/>
        <n v="2606.4"/>
        <n v="2437.2"/>
        <n v="3915.9"/>
        <n v="1239.3"/>
        <n v="4037"/>
        <n v="1047.6"/>
        <n v="2938.1"/>
        <n v="27673.8"/>
        <n v="1272.6"/>
        <n v="1906.2"/>
        <n v="1918.8"/>
        <n v="368.1"/>
        <n v="11326.7"/>
        <n v="2610.9"/>
        <n v="3258"/>
        <n v="13074.6"/>
        <n v="595.8"/>
        <n v="774"/>
        <n v="2550.9"/>
        <n v="1692"/>
        <n v="1635.3"/>
        <n v="723.6"/>
        <n v="13873.2"/>
        <n v="4605.3"/>
        <n v="3995.1"/>
        <n v="2275.2"/>
        <n v="2216.7"/>
        <n v="669.9"/>
        <n v="2766.6"/>
        <n v="4909.3"/>
        <n v="13627.9"/>
        <n v="2367.9"/>
        <n v="2382.3"/>
        <n v="2110.9"/>
        <n v="2875.5"/>
        <n v="5328.4"/>
        <n v="3132"/>
        <n v="8456.8"/>
        <n v="7264.8"/>
        <n v="3038.2"/>
        <n v="2473.2"/>
        <n v="2137.5"/>
        <n v="2579.4"/>
        <n v="1770.3"/>
        <n v="1927.8"/>
        <n v="3578.4"/>
        <n v="702.9"/>
        <n v="4709.1"/>
        <n v="8262.1"/>
        <n v="2203.2"/>
        <n v="7830.9"/>
        <n v="2744.1"/>
        <n v="1988.8"/>
        <n v="1379.7"/>
        <n v="2200.5"/>
        <n v="9649.8"/>
        <n v="8453.5"/>
        <n v="3603.6"/>
        <n v="5724.9"/>
        <n v="5762.7"/>
        <n v="5072.1"/>
        <n v="1509.2"/>
        <n v="8349.3"/>
        <n v="4807"/>
        <n v="1632.4"/>
        <n v="9199.8"/>
        <n v="2542.5"/>
        <n v="1548.9"/>
        <n v="4771.8"/>
        <n v="1908.9"/>
        <n v="3235.5"/>
        <n v="4228.4"/>
        <n v="9149.8"/>
        <n v="2947.5"/>
        <n v="1683"/>
        <n v="6087.4"/>
        <n v="1247.4"/>
        <n v="5223.6"/>
        <n v="1051.2"/>
        <n v="2455.2"/>
        <n v="677.7"/>
        <n v="13131.8"/>
        <n v="7126.2"/>
        <n v="15039.2"/>
        <n v="842.4"/>
        <n v="5050.1"/>
        <n v="15151.4"/>
        <n v="1886.4"/>
        <n v="9948.6"/>
        <n v="1828.8"/>
        <n v="1124.1"/>
        <n v="7103.8"/>
        <n v="1343.7"/>
        <n v="654.3"/>
        <n v="4540.8"/>
        <n v="2793.6"/>
        <n v="1781.1"/>
        <n v="1024.1"/>
        <n v="833.4"/>
        <n v="753.5"/>
        <n v="2418.3"/>
        <n v="14087.7"/>
        <n v="3798.9"/>
        <n v="1322.1"/>
        <n v="1491.3"/>
        <n v="2050.4"/>
        <n v="4568.3"/>
        <n v="1489.5"/>
        <n v="2696.4"/>
        <n v="1615.5"/>
        <n v="13948"/>
        <n v="6836.4"/>
        <n v="2005.3"/>
        <n v="2025.9"/>
        <n v="2026.2"/>
        <n v="599.4"/>
        <n v="1920.6"/>
        <n v="2501.1"/>
        <n v="1161.6"/>
        <n v="3248.1"/>
        <n v="2468.7"/>
        <n v="3374.1"/>
        <n v="5383.8"/>
        <n v="2098.8"/>
        <n v="4361.5"/>
        <n v="2363.9"/>
        <n v="4124.7"/>
        <n v="3430.8"/>
        <n v="2093.4"/>
        <n v="2174.7"/>
        <n v="1405.8"/>
        <n v="3054.6"/>
        <n v="4315.5"/>
        <n v="1862.1"/>
        <n v="842.6"/>
        <n v="1464.1"/>
        <n v="1080"/>
        <n v="947.7"/>
        <n v="2359.5"/>
        <n v="3174.3"/>
        <n v="949.5"/>
        <n v="1944.8"/>
        <n v="3251.6"/>
        <n v="1755"/>
        <n v="838.8"/>
        <n v="5220"/>
        <n v="8233.5"/>
        <n v="1423.8"/>
        <n v="1411.2"/>
        <n v="3339.9"/>
        <n v="2682.9"/>
        <n v="1238.4"/>
        <n v="9329.4"/>
        <n v="4134.6"/>
        <n v="7839.7"/>
        <n v="6253.2"/>
        <n v="3102"/>
        <n v="4665.1"/>
        <n v="7972.2"/>
        <n v="17539.5"/>
        <n v="1289.7"/>
        <n v="2090"/>
        <n v="2791.8"/>
        <n v="896.4"/>
        <n v="3574.8"/>
        <n v="1401.4"/>
        <n v="2173.5"/>
        <n v="6417"/>
        <n v="2919.6"/>
        <n v="15863.1"/>
        <n v="6676.2"/>
        <n v="6668.1"/>
        <n v="843.3"/>
        <n v="3290.4"/>
        <n v="2708.2"/>
        <n v="604.8"/>
        <n v="1350.8"/>
        <n v="6948.9"/>
        <n v="16385.6"/>
        <n v="1159.2"/>
        <n v="6688.8"/>
        <n v="6636.6"/>
        <n v="1355.4"/>
        <n v="1364.4"/>
        <n v="8026.7"/>
        <n v="5298.7"/>
        <n v="3591"/>
        <n v="17303"/>
        <n v="5641.9"/>
        <n v="3031.2"/>
        <n v="6577.2"/>
        <n v="4235.4"/>
        <n v="3265.9"/>
        <n v="4581.5"/>
        <n v="1962.9"/>
        <n v="1216.8"/>
        <n v="1390.4"/>
        <n v="3150.4"/>
        <n v="5874.3"/>
        <n v="9875.8"/>
        <n v="12380.4"/>
        <n v="2505.8"/>
        <n v="961.2"/>
        <n v="304.2"/>
        <n v="1332"/>
        <n v="2070.2"/>
        <n v="1426.5"/>
        <n v="5822.3"/>
        <n v="3509"/>
        <n v="1890.9"/>
        <n v="1113.3"/>
        <n v="3381.3"/>
        <n v="1466.3"/>
        <n v="13197.8"/>
        <n v="3623.4"/>
        <n v="2184.3"/>
        <n v="990"/>
      </sharedItems>
    </cacheField>
    <cacheField name="Duracao Emprestimo" numFmtId="0">
      <sharedItems containsSemiMixedTypes="0" containsString="0" containsNumber="1" containsInteger="1" minValue="4" maxValue="72" count="33">
        <n v="36"/>
        <n v="24"/>
        <n v="15"/>
        <n v="18"/>
        <n v="6"/>
        <n v="9"/>
        <n v="12"/>
        <n v="21"/>
        <n v="33"/>
        <n v="10"/>
        <n v="30"/>
        <n v="48"/>
        <n v="20"/>
        <n v="72"/>
        <n v="27"/>
        <n v="45"/>
        <n v="11"/>
        <n v="5"/>
        <n v="8"/>
        <n v="54"/>
        <n v="4"/>
        <n v="42"/>
        <n v="60"/>
        <n v="28"/>
        <n v="39"/>
        <n v="14"/>
        <n v="7"/>
        <n v="26"/>
        <n v="13"/>
        <n v="22"/>
        <n v="16"/>
        <n v="40"/>
        <n v="47"/>
      </sharedItems>
    </cacheField>
    <cacheField name="Inadimplencia" numFmtId="0">
      <sharedItems containsSemiMixedTypes="0" containsString="0" containsNumber="1" containsInteger="1" minValue="0" maxValue="1" count="2">
        <n v="1"/>
        <n v="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0">
  <r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1"/>
    <x v="1"/>
    <x v="0"/>
  </r>
  <r>
    <x v="2"/>
    <x v="2"/>
    <x v="1"/>
    <x v="0"/>
    <x v="0"/>
    <x v="2"/>
    <x v="2"/>
    <x v="2"/>
    <x v="2"/>
    <x v="2"/>
    <x v="1"/>
  </r>
  <r>
    <x v="3"/>
    <x v="3"/>
    <x v="0"/>
    <x v="0"/>
    <x v="0"/>
    <x v="3"/>
    <x v="2"/>
    <x v="2"/>
    <x v="3"/>
    <x v="0"/>
    <x v="1"/>
  </r>
  <r>
    <x v="4"/>
    <x v="4"/>
    <x v="1"/>
    <x v="0"/>
    <x v="0"/>
    <x v="4"/>
    <x v="0"/>
    <x v="2"/>
    <x v="4"/>
    <x v="3"/>
    <x v="1"/>
  </r>
  <r>
    <x v="5"/>
    <x v="5"/>
    <x v="0"/>
    <x v="0"/>
    <x v="1"/>
    <x v="5"/>
    <x v="0"/>
    <x v="0"/>
    <x v="5"/>
    <x v="2"/>
    <x v="1"/>
  </r>
  <r>
    <x v="6"/>
    <x v="5"/>
    <x v="1"/>
    <x v="0"/>
    <x v="2"/>
    <x v="6"/>
    <x v="0"/>
    <x v="2"/>
    <x v="6"/>
    <x v="1"/>
    <x v="1"/>
  </r>
  <r>
    <x v="7"/>
    <x v="6"/>
    <x v="1"/>
    <x v="2"/>
    <x v="0"/>
    <x v="7"/>
    <x v="0"/>
    <x v="3"/>
    <x v="7"/>
    <x v="4"/>
    <x v="1"/>
  </r>
  <r>
    <x v="8"/>
    <x v="7"/>
    <x v="0"/>
    <x v="0"/>
    <x v="0"/>
    <x v="8"/>
    <x v="0"/>
    <x v="0"/>
    <x v="8"/>
    <x v="4"/>
    <x v="1"/>
  </r>
  <r>
    <x v="9"/>
    <x v="8"/>
    <x v="1"/>
    <x v="1"/>
    <x v="0"/>
    <x v="9"/>
    <x v="1"/>
    <x v="3"/>
    <x v="9"/>
    <x v="2"/>
    <x v="0"/>
  </r>
  <r>
    <x v="10"/>
    <x v="9"/>
    <x v="1"/>
    <x v="2"/>
    <x v="0"/>
    <x v="10"/>
    <x v="2"/>
    <x v="2"/>
    <x v="10"/>
    <x v="5"/>
    <x v="1"/>
  </r>
  <r>
    <x v="11"/>
    <x v="10"/>
    <x v="0"/>
    <x v="1"/>
    <x v="1"/>
    <x v="11"/>
    <x v="0"/>
    <x v="0"/>
    <x v="11"/>
    <x v="6"/>
    <x v="0"/>
  </r>
  <r>
    <x v="12"/>
    <x v="1"/>
    <x v="1"/>
    <x v="0"/>
    <x v="2"/>
    <x v="12"/>
    <x v="1"/>
    <x v="3"/>
    <x v="12"/>
    <x v="0"/>
    <x v="1"/>
  </r>
  <r>
    <x v="13"/>
    <x v="0"/>
    <x v="0"/>
    <x v="0"/>
    <x v="0"/>
    <x v="13"/>
    <x v="0"/>
    <x v="0"/>
    <x v="13"/>
    <x v="7"/>
    <x v="0"/>
  </r>
  <r>
    <x v="14"/>
    <x v="11"/>
    <x v="0"/>
    <x v="1"/>
    <x v="0"/>
    <x v="14"/>
    <x v="0"/>
    <x v="0"/>
    <x v="14"/>
    <x v="6"/>
    <x v="0"/>
  </r>
  <r>
    <x v="15"/>
    <x v="12"/>
    <x v="0"/>
    <x v="0"/>
    <x v="0"/>
    <x v="15"/>
    <x v="0"/>
    <x v="2"/>
    <x v="15"/>
    <x v="8"/>
    <x v="1"/>
  </r>
  <r>
    <x v="16"/>
    <x v="6"/>
    <x v="1"/>
    <x v="0"/>
    <x v="0"/>
    <x v="16"/>
    <x v="1"/>
    <x v="1"/>
    <x v="16"/>
    <x v="0"/>
    <x v="0"/>
  </r>
  <r>
    <x v="17"/>
    <x v="13"/>
    <x v="1"/>
    <x v="0"/>
    <x v="2"/>
    <x v="17"/>
    <x v="2"/>
    <x v="1"/>
    <x v="17"/>
    <x v="1"/>
    <x v="1"/>
  </r>
  <r>
    <x v="18"/>
    <x v="14"/>
    <x v="1"/>
    <x v="1"/>
    <x v="2"/>
    <x v="18"/>
    <x v="0"/>
    <x v="0"/>
    <x v="18"/>
    <x v="1"/>
    <x v="1"/>
  </r>
  <r>
    <x v="19"/>
    <x v="13"/>
    <x v="1"/>
    <x v="0"/>
    <x v="1"/>
    <x v="19"/>
    <x v="0"/>
    <x v="0"/>
    <x v="19"/>
    <x v="5"/>
    <x v="1"/>
  </r>
  <r>
    <x v="20"/>
    <x v="10"/>
    <x v="1"/>
    <x v="1"/>
    <x v="1"/>
    <x v="20"/>
    <x v="0"/>
    <x v="0"/>
    <x v="20"/>
    <x v="0"/>
    <x v="0"/>
  </r>
  <r>
    <x v="21"/>
    <x v="15"/>
    <x v="1"/>
    <x v="1"/>
    <x v="2"/>
    <x v="21"/>
    <x v="0"/>
    <x v="0"/>
    <x v="21"/>
    <x v="0"/>
    <x v="0"/>
  </r>
  <r>
    <x v="22"/>
    <x v="10"/>
    <x v="0"/>
    <x v="1"/>
    <x v="1"/>
    <x v="22"/>
    <x v="2"/>
    <x v="3"/>
    <x v="22"/>
    <x v="2"/>
    <x v="0"/>
  </r>
  <r>
    <x v="23"/>
    <x v="16"/>
    <x v="1"/>
    <x v="2"/>
    <x v="0"/>
    <x v="23"/>
    <x v="2"/>
    <x v="2"/>
    <x v="23"/>
    <x v="9"/>
    <x v="0"/>
  </r>
  <r>
    <x v="24"/>
    <x v="4"/>
    <x v="1"/>
    <x v="2"/>
    <x v="0"/>
    <x v="24"/>
    <x v="2"/>
    <x v="2"/>
    <x v="24"/>
    <x v="4"/>
    <x v="1"/>
  </r>
  <r>
    <x v="25"/>
    <x v="0"/>
    <x v="0"/>
    <x v="0"/>
    <x v="0"/>
    <x v="25"/>
    <x v="2"/>
    <x v="2"/>
    <x v="25"/>
    <x v="6"/>
    <x v="1"/>
  </r>
  <r>
    <x v="26"/>
    <x v="17"/>
    <x v="1"/>
    <x v="0"/>
    <x v="0"/>
    <x v="26"/>
    <x v="2"/>
    <x v="3"/>
    <x v="26"/>
    <x v="6"/>
    <x v="1"/>
  </r>
  <r>
    <x v="27"/>
    <x v="16"/>
    <x v="1"/>
    <x v="2"/>
    <x v="0"/>
    <x v="27"/>
    <x v="0"/>
    <x v="3"/>
    <x v="27"/>
    <x v="4"/>
    <x v="1"/>
  </r>
  <r>
    <x v="28"/>
    <x v="18"/>
    <x v="1"/>
    <x v="0"/>
    <x v="2"/>
    <x v="28"/>
    <x v="0"/>
    <x v="0"/>
    <x v="28"/>
    <x v="0"/>
    <x v="0"/>
  </r>
  <r>
    <x v="29"/>
    <x v="19"/>
    <x v="1"/>
    <x v="0"/>
    <x v="0"/>
    <x v="29"/>
    <x v="0"/>
    <x v="2"/>
    <x v="29"/>
    <x v="10"/>
    <x v="1"/>
  </r>
  <r>
    <x v="30"/>
    <x v="20"/>
    <x v="1"/>
    <x v="0"/>
    <x v="0"/>
    <x v="30"/>
    <x v="0"/>
    <x v="0"/>
    <x v="30"/>
    <x v="6"/>
    <x v="1"/>
  </r>
  <r>
    <x v="31"/>
    <x v="10"/>
    <x v="0"/>
    <x v="2"/>
    <x v="0"/>
    <x v="31"/>
    <x v="0"/>
    <x v="1"/>
    <x v="31"/>
    <x v="5"/>
    <x v="0"/>
  </r>
  <r>
    <x v="32"/>
    <x v="0"/>
    <x v="0"/>
    <x v="2"/>
    <x v="0"/>
    <x v="32"/>
    <x v="0"/>
    <x v="1"/>
    <x v="32"/>
    <x v="2"/>
    <x v="0"/>
  </r>
  <r>
    <x v="33"/>
    <x v="21"/>
    <x v="1"/>
    <x v="0"/>
    <x v="0"/>
    <x v="33"/>
    <x v="2"/>
    <x v="2"/>
    <x v="33"/>
    <x v="6"/>
    <x v="1"/>
  </r>
  <r>
    <x v="34"/>
    <x v="5"/>
    <x v="0"/>
    <x v="1"/>
    <x v="2"/>
    <x v="34"/>
    <x v="1"/>
    <x v="1"/>
    <x v="34"/>
    <x v="11"/>
    <x v="0"/>
  </r>
  <r>
    <x v="35"/>
    <x v="22"/>
    <x v="1"/>
    <x v="0"/>
    <x v="0"/>
    <x v="35"/>
    <x v="1"/>
    <x v="0"/>
    <x v="35"/>
    <x v="4"/>
    <x v="1"/>
  </r>
  <r>
    <x v="36"/>
    <x v="22"/>
    <x v="1"/>
    <x v="2"/>
    <x v="0"/>
    <x v="36"/>
    <x v="0"/>
    <x v="0"/>
    <x v="36"/>
    <x v="6"/>
    <x v="1"/>
  </r>
  <r>
    <x v="37"/>
    <x v="19"/>
    <x v="1"/>
    <x v="0"/>
    <x v="2"/>
    <x v="37"/>
    <x v="2"/>
    <x v="0"/>
    <x v="37"/>
    <x v="0"/>
    <x v="0"/>
  </r>
  <r>
    <x v="38"/>
    <x v="23"/>
    <x v="1"/>
    <x v="0"/>
    <x v="0"/>
    <x v="38"/>
    <x v="0"/>
    <x v="3"/>
    <x v="38"/>
    <x v="10"/>
    <x v="0"/>
  </r>
  <r>
    <x v="39"/>
    <x v="24"/>
    <x v="1"/>
    <x v="0"/>
    <x v="0"/>
    <x v="39"/>
    <x v="2"/>
    <x v="1"/>
    <x v="39"/>
    <x v="11"/>
    <x v="1"/>
  </r>
  <r>
    <x v="40"/>
    <x v="6"/>
    <x v="0"/>
    <x v="0"/>
    <x v="0"/>
    <x v="40"/>
    <x v="0"/>
    <x v="0"/>
    <x v="40"/>
    <x v="5"/>
    <x v="0"/>
  </r>
  <r>
    <x v="41"/>
    <x v="8"/>
    <x v="0"/>
    <x v="2"/>
    <x v="2"/>
    <x v="41"/>
    <x v="2"/>
    <x v="3"/>
    <x v="41"/>
    <x v="1"/>
    <x v="0"/>
  </r>
  <r>
    <x v="42"/>
    <x v="25"/>
    <x v="1"/>
    <x v="1"/>
    <x v="0"/>
    <x v="42"/>
    <x v="2"/>
    <x v="1"/>
    <x v="42"/>
    <x v="12"/>
    <x v="1"/>
  </r>
  <r>
    <x v="43"/>
    <x v="24"/>
    <x v="0"/>
    <x v="2"/>
    <x v="0"/>
    <x v="43"/>
    <x v="3"/>
    <x v="2"/>
    <x v="43"/>
    <x v="4"/>
    <x v="1"/>
  </r>
  <r>
    <x v="44"/>
    <x v="26"/>
    <x v="1"/>
    <x v="0"/>
    <x v="0"/>
    <x v="44"/>
    <x v="0"/>
    <x v="3"/>
    <x v="44"/>
    <x v="1"/>
    <x v="0"/>
  </r>
  <r>
    <x v="45"/>
    <x v="26"/>
    <x v="1"/>
    <x v="0"/>
    <x v="0"/>
    <x v="45"/>
    <x v="1"/>
    <x v="2"/>
    <x v="45"/>
    <x v="6"/>
    <x v="1"/>
  </r>
  <r>
    <x v="46"/>
    <x v="27"/>
    <x v="0"/>
    <x v="1"/>
    <x v="2"/>
    <x v="46"/>
    <x v="0"/>
    <x v="0"/>
    <x v="46"/>
    <x v="3"/>
    <x v="0"/>
  </r>
  <r>
    <x v="47"/>
    <x v="24"/>
    <x v="1"/>
    <x v="0"/>
    <x v="0"/>
    <x v="47"/>
    <x v="2"/>
    <x v="2"/>
    <x v="47"/>
    <x v="7"/>
    <x v="1"/>
  </r>
  <r>
    <x v="48"/>
    <x v="0"/>
    <x v="0"/>
    <x v="2"/>
    <x v="0"/>
    <x v="48"/>
    <x v="0"/>
    <x v="3"/>
    <x v="48"/>
    <x v="1"/>
    <x v="0"/>
  </r>
  <r>
    <x v="49"/>
    <x v="11"/>
    <x v="1"/>
    <x v="0"/>
    <x v="0"/>
    <x v="49"/>
    <x v="1"/>
    <x v="3"/>
    <x v="49"/>
    <x v="13"/>
    <x v="0"/>
  </r>
  <r>
    <x v="50"/>
    <x v="27"/>
    <x v="1"/>
    <x v="2"/>
    <x v="0"/>
    <x v="50"/>
    <x v="2"/>
    <x v="2"/>
    <x v="50"/>
    <x v="9"/>
    <x v="1"/>
  </r>
  <r>
    <x v="51"/>
    <x v="0"/>
    <x v="1"/>
    <x v="0"/>
    <x v="0"/>
    <x v="51"/>
    <x v="0"/>
    <x v="0"/>
    <x v="51"/>
    <x v="0"/>
    <x v="0"/>
  </r>
  <r>
    <x v="52"/>
    <x v="17"/>
    <x v="0"/>
    <x v="2"/>
    <x v="1"/>
    <x v="52"/>
    <x v="0"/>
    <x v="1"/>
    <x v="52"/>
    <x v="6"/>
    <x v="1"/>
  </r>
  <r>
    <x v="53"/>
    <x v="23"/>
    <x v="0"/>
    <x v="0"/>
    <x v="1"/>
    <x v="53"/>
    <x v="0"/>
    <x v="3"/>
    <x v="53"/>
    <x v="3"/>
    <x v="1"/>
  </r>
  <r>
    <x v="54"/>
    <x v="11"/>
    <x v="1"/>
    <x v="0"/>
    <x v="1"/>
    <x v="54"/>
    <x v="0"/>
    <x v="3"/>
    <x v="54"/>
    <x v="6"/>
    <x v="1"/>
  </r>
  <r>
    <x v="55"/>
    <x v="7"/>
    <x v="1"/>
    <x v="0"/>
    <x v="0"/>
    <x v="55"/>
    <x v="3"/>
    <x v="2"/>
    <x v="55"/>
    <x v="14"/>
    <x v="1"/>
  </r>
  <r>
    <x v="56"/>
    <x v="6"/>
    <x v="0"/>
    <x v="0"/>
    <x v="1"/>
    <x v="56"/>
    <x v="2"/>
    <x v="1"/>
    <x v="56"/>
    <x v="3"/>
    <x v="0"/>
  </r>
  <r>
    <x v="57"/>
    <x v="19"/>
    <x v="1"/>
    <x v="1"/>
    <x v="0"/>
    <x v="57"/>
    <x v="3"/>
    <x v="2"/>
    <x v="57"/>
    <x v="0"/>
    <x v="1"/>
  </r>
  <r>
    <x v="58"/>
    <x v="10"/>
    <x v="0"/>
    <x v="1"/>
    <x v="0"/>
    <x v="58"/>
    <x v="0"/>
    <x v="1"/>
    <x v="58"/>
    <x v="11"/>
    <x v="0"/>
  </r>
  <r>
    <x v="59"/>
    <x v="28"/>
    <x v="0"/>
    <x v="1"/>
    <x v="2"/>
    <x v="59"/>
    <x v="1"/>
    <x v="0"/>
    <x v="59"/>
    <x v="5"/>
    <x v="0"/>
  </r>
  <r>
    <x v="60"/>
    <x v="3"/>
    <x v="0"/>
    <x v="0"/>
    <x v="0"/>
    <x v="60"/>
    <x v="2"/>
    <x v="1"/>
    <x v="60"/>
    <x v="10"/>
    <x v="1"/>
  </r>
  <r>
    <x v="61"/>
    <x v="29"/>
    <x v="1"/>
    <x v="0"/>
    <x v="0"/>
    <x v="61"/>
    <x v="0"/>
    <x v="1"/>
    <x v="61"/>
    <x v="0"/>
    <x v="1"/>
  </r>
  <r>
    <x v="62"/>
    <x v="10"/>
    <x v="0"/>
    <x v="0"/>
    <x v="1"/>
    <x v="62"/>
    <x v="2"/>
    <x v="0"/>
    <x v="62"/>
    <x v="3"/>
    <x v="1"/>
  </r>
  <r>
    <x v="63"/>
    <x v="30"/>
    <x v="0"/>
    <x v="1"/>
    <x v="0"/>
    <x v="63"/>
    <x v="2"/>
    <x v="0"/>
    <x v="63"/>
    <x v="4"/>
    <x v="1"/>
  </r>
  <r>
    <x v="64"/>
    <x v="29"/>
    <x v="0"/>
    <x v="0"/>
    <x v="0"/>
    <x v="64"/>
    <x v="0"/>
    <x v="2"/>
    <x v="64"/>
    <x v="0"/>
    <x v="1"/>
  </r>
  <r>
    <x v="65"/>
    <x v="29"/>
    <x v="1"/>
    <x v="0"/>
    <x v="2"/>
    <x v="65"/>
    <x v="0"/>
    <x v="1"/>
    <x v="65"/>
    <x v="1"/>
    <x v="0"/>
  </r>
  <r>
    <x v="66"/>
    <x v="11"/>
    <x v="1"/>
    <x v="0"/>
    <x v="1"/>
    <x v="66"/>
    <x v="2"/>
    <x v="3"/>
    <x v="66"/>
    <x v="15"/>
    <x v="0"/>
  </r>
  <r>
    <x v="67"/>
    <x v="18"/>
    <x v="1"/>
    <x v="1"/>
    <x v="0"/>
    <x v="67"/>
    <x v="2"/>
    <x v="0"/>
    <x v="67"/>
    <x v="1"/>
    <x v="0"/>
  </r>
  <r>
    <x v="68"/>
    <x v="21"/>
    <x v="1"/>
    <x v="1"/>
    <x v="2"/>
    <x v="68"/>
    <x v="0"/>
    <x v="0"/>
    <x v="68"/>
    <x v="11"/>
    <x v="1"/>
  </r>
  <r>
    <x v="69"/>
    <x v="31"/>
    <x v="1"/>
    <x v="2"/>
    <x v="0"/>
    <x v="69"/>
    <x v="0"/>
    <x v="2"/>
    <x v="69"/>
    <x v="16"/>
    <x v="1"/>
  </r>
  <r>
    <x v="70"/>
    <x v="23"/>
    <x v="1"/>
    <x v="1"/>
    <x v="0"/>
    <x v="70"/>
    <x v="0"/>
    <x v="0"/>
    <x v="70"/>
    <x v="10"/>
    <x v="1"/>
  </r>
  <r>
    <x v="71"/>
    <x v="32"/>
    <x v="1"/>
    <x v="0"/>
    <x v="0"/>
    <x v="17"/>
    <x v="0"/>
    <x v="2"/>
    <x v="71"/>
    <x v="2"/>
    <x v="1"/>
  </r>
  <r>
    <x v="72"/>
    <x v="26"/>
    <x v="1"/>
    <x v="2"/>
    <x v="1"/>
    <x v="71"/>
    <x v="1"/>
    <x v="2"/>
    <x v="72"/>
    <x v="9"/>
    <x v="1"/>
  </r>
  <r>
    <x v="73"/>
    <x v="18"/>
    <x v="0"/>
    <x v="0"/>
    <x v="0"/>
    <x v="72"/>
    <x v="0"/>
    <x v="2"/>
    <x v="73"/>
    <x v="10"/>
    <x v="1"/>
  </r>
  <r>
    <x v="74"/>
    <x v="13"/>
    <x v="1"/>
    <x v="1"/>
    <x v="1"/>
    <x v="73"/>
    <x v="1"/>
    <x v="3"/>
    <x v="74"/>
    <x v="1"/>
    <x v="1"/>
  </r>
  <r>
    <x v="75"/>
    <x v="26"/>
    <x v="1"/>
    <x v="0"/>
    <x v="0"/>
    <x v="74"/>
    <x v="0"/>
    <x v="2"/>
    <x v="75"/>
    <x v="0"/>
    <x v="1"/>
  </r>
  <r>
    <x v="76"/>
    <x v="6"/>
    <x v="0"/>
    <x v="0"/>
    <x v="0"/>
    <x v="75"/>
    <x v="0"/>
    <x v="2"/>
    <x v="76"/>
    <x v="2"/>
    <x v="1"/>
  </r>
  <r>
    <x v="77"/>
    <x v="33"/>
    <x v="1"/>
    <x v="2"/>
    <x v="0"/>
    <x v="76"/>
    <x v="0"/>
    <x v="2"/>
    <x v="77"/>
    <x v="17"/>
    <x v="1"/>
  </r>
  <r>
    <x v="78"/>
    <x v="31"/>
    <x v="1"/>
    <x v="2"/>
    <x v="0"/>
    <x v="77"/>
    <x v="0"/>
    <x v="0"/>
    <x v="78"/>
    <x v="18"/>
    <x v="1"/>
  </r>
  <r>
    <x v="79"/>
    <x v="34"/>
    <x v="1"/>
    <x v="2"/>
    <x v="1"/>
    <x v="78"/>
    <x v="2"/>
    <x v="2"/>
    <x v="79"/>
    <x v="6"/>
    <x v="1"/>
  </r>
  <r>
    <x v="80"/>
    <x v="19"/>
    <x v="0"/>
    <x v="0"/>
    <x v="0"/>
    <x v="79"/>
    <x v="2"/>
    <x v="2"/>
    <x v="80"/>
    <x v="6"/>
    <x v="1"/>
  </r>
  <r>
    <x v="81"/>
    <x v="3"/>
    <x v="1"/>
    <x v="0"/>
    <x v="0"/>
    <x v="80"/>
    <x v="1"/>
    <x v="2"/>
    <x v="81"/>
    <x v="1"/>
    <x v="0"/>
  </r>
  <r>
    <x v="82"/>
    <x v="4"/>
    <x v="1"/>
    <x v="2"/>
    <x v="0"/>
    <x v="81"/>
    <x v="0"/>
    <x v="2"/>
    <x v="82"/>
    <x v="9"/>
    <x v="1"/>
  </r>
  <r>
    <x v="83"/>
    <x v="7"/>
    <x v="1"/>
    <x v="1"/>
    <x v="0"/>
    <x v="32"/>
    <x v="2"/>
    <x v="0"/>
    <x v="83"/>
    <x v="1"/>
    <x v="0"/>
  </r>
  <r>
    <x v="84"/>
    <x v="3"/>
    <x v="0"/>
    <x v="0"/>
    <x v="0"/>
    <x v="82"/>
    <x v="0"/>
    <x v="0"/>
    <x v="84"/>
    <x v="11"/>
    <x v="0"/>
  </r>
  <r>
    <x v="85"/>
    <x v="27"/>
    <x v="1"/>
    <x v="0"/>
    <x v="0"/>
    <x v="83"/>
    <x v="0"/>
    <x v="0"/>
    <x v="85"/>
    <x v="1"/>
    <x v="0"/>
  </r>
  <r>
    <x v="86"/>
    <x v="22"/>
    <x v="1"/>
    <x v="0"/>
    <x v="0"/>
    <x v="84"/>
    <x v="2"/>
    <x v="1"/>
    <x v="86"/>
    <x v="3"/>
    <x v="1"/>
  </r>
  <r>
    <x v="87"/>
    <x v="35"/>
    <x v="1"/>
    <x v="0"/>
    <x v="1"/>
    <x v="22"/>
    <x v="2"/>
    <x v="3"/>
    <x v="87"/>
    <x v="19"/>
    <x v="0"/>
  </r>
  <r>
    <x v="88"/>
    <x v="18"/>
    <x v="1"/>
    <x v="0"/>
    <x v="0"/>
    <x v="85"/>
    <x v="0"/>
    <x v="2"/>
    <x v="88"/>
    <x v="3"/>
    <x v="1"/>
  </r>
  <r>
    <x v="89"/>
    <x v="20"/>
    <x v="1"/>
    <x v="0"/>
    <x v="0"/>
    <x v="86"/>
    <x v="2"/>
    <x v="2"/>
    <x v="89"/>
    <x v="1"/>
    <x v="1"/>
  </r>
  <r>
    <x v="90"/>
    <x v="36"/>
    <x v="1"/>
    <x v="2"/>
    <x v="0"/>
    <x v="87"/>
    <x v="0"/>
    <x v="0"/>
    <x v="90"/>
    <x v="1"/>
    <x v="1"/>
  </r>
  <r>
    <x v="91"/>
    <x v="12"/>
    <x v="1"/>
    <x v="0"/>
    <x v="1"/>
    <x v="88"/>
    <x v="0"/>
    <x v="2"/>
    <x v="91"/>
    <x v="4"/>
    <x v="1"/>
  </r>
  <r>
    <x v="92"/>
    <x v="31"/>
    <x v="1"/>
    <x v="0"/>
    <x v="0"/>
    <x v="89"/>
    <x v="2"/>
    <x v="0"/>
    <x v="92"/>
    <x v="12"/>
    <x v="1"/>
  </r>
  <r>
    <x v="93"/>
    <x v="14"/>
    <x v="1"/>
    <x v="1"/>
    <x v="0"/>
    <x v="90"/>
    <x v="0"/>
    <x v="3"/>
    <x v="93"/>
    <x v="3"/>
    <x v="0"/>
  </r>
  <r>
    <x v="94"/>
    <x v="6"/>
    <x v="0"/>
    <x v="0"/>
    <x v="0"/>
    <x v="91"/>
    <x v="0"/>
    <x v="0"/>
    <x v="94"/>
    <x v="2"/>
    <x v="0"/>
  </r>
  <r>
    <x v="95"/>
    <x v="13"/>
    <x v="1"/>
    <x v="0"/>
    <x v="0"/>
    <x v="92"/>
    <x v="0"/>
    <x v="2"/>
    <x v="95"/>
    <x v="6"/>
    <x v="1"/>
  </r>
  <r>
    <x v="96"/>
    <x v="37"/>
    <x v="1"/>
    <x v="2"/>
    <x v="0"/>
    <x v="93"/>
    <x v="0"/>
    <x v="2"/>
    <x v="96"/>
    <x v="20"/>
    <x v="1"/>
  </r>
  <r>
    <x v="97"/>
    <x v="38"/>
    <x v="1"/>
    <x v="0"/>
    <x v="0"/>
    <x v="94"/>
    <x v="2"/>
    <x v="2"/>
    <x v="97"/>
    <x v="0"/>
    <x v="1"/>
  </r>
  <r>
    <x v="98"/>
    <x v="29"/>
    <x v="1"/>
    <x v="1"/>
    <x v="2"/>
    <x v="95"/>
    <x v="1"/>
    <x v="3"/>
    <x v="98"/>
    <x v="11"/>
    <x v="1"/>
  </r>
  <r>
    <x v="99"/>
    <x v="12"/>
    <x v="0"/>
    <x v="1"/>
    <x v="1"/>
    <x v="96"/>
    <x v="0"/>
    <x v="2"/>
    <x v="99"/>
    <x v="10"/>
    <x v="1"/>
  </r>
  <r>
    <x v="100"/>
    <x v="37"/>
    <x v="1"/>
    <x v="0"/>
    <x v="2"/>
    <x v="97"/>
    <x v="2"/>
    <x v="2"/>
    <x v="100"/>
    <x v="0"/>
    <x v="1"/>
  </r>
  <r>
    <x v="101"/>
    <x v="12"/>
    <x v="1"/>
    <x v="0"/>
    <x v="0"/>
    <x v="98"/>
    <x v="0"/>
    <x v="0"/>
    <x v="101"/>
    <x v="1"/>
    <x v="0"/>
  </r>
  <r>
    <x v="102"/>
    <x v="31"/>
    <x v="1"/>
    <x v="2"/>
    <x v="0"/>
    <x v="99"/>
    <x v="0"/>
    <x v="2"/>
    <x v="102"/>
    <x v="4"/>
    <x v="1"/>
  </r>
  <r>
    <x v="103"/>
    <x v="12"/>
    <x v="1"/>
    <x v="0"/>
    <x v="0"/>
    <x v="100"/>
    <x v="2"/>
    <x v="2"/>
    <x v="103"/>
    <x v="7"/>
    <x v="1"/>
  </r>
  <r>
    <x v="104"/>
    <x v="23"/>
    <x v="1"/>
    <x v="0"/>
    <x v="0"/>
    <x v="101"/>
    <x v="2"/>
    <x v="2"/>
    <x v="104"/>
    <x v="10"/>
    <x v="1"/>
  </r>
  <r>
    <x v="105"/>
    <x v="39"/>
    <x v="1"/>
    <x v="0"/>
    <x v="1"/>
    <x v="102"/>
    <x v="2"/>
    <x v="3"/>
    <x v="105"/>
    <x v="1"/>
    <x v="0"/>
  </r>
  <r>
    <x v="106"/>
    <x v="0"/>
    <x v="1"/>
    <x v="0"/>
    <x v="0"/>
    <x v="103"/>
    <x v="1"/>
    <x v="0"/>
    <x v="106"/>
    <x v="7"/>
    <x v="0"/>
  </r>
  <r>
    <x v="107"/>
    <x v="40"/>
    <x v="1"/>
    <x v="0"/>
    <x v="0"/>
    <x v="104"/>
    <x v="0"/>
    <x v="1"/>
    <x v="107"/>
    <x v="21"/>
    <x v="1"/>
  </r>
  <r>
    <x v="108"/>
    <x v="3"/>
    <x v="1"/>
    <x v="2"/>
    <x v="0"/>
    <x v="105"/>
    <x v="0"/>
    <x v="0"/>
    <x v="108"/>
    <x v="10"/>
    <x v="0"/>
  </r>
  <r>
    <x v="109"/>
    <x v="16"/>
    <x v="1"/>
    <x v="1"/>
    <x v="0"/>
    <x v="106"/>
    <x v="2"/>
    <x v="3"/>
    <x v="109"/>
    <x v="22"/>
    <x v="0"/>
  </r>
  <r>
    <x v="110"/>
    <x v="0"/>
    <x v="0"/>
    <x v="1"/>
    <x v="1"/>
    <x v="107"/>
    <x v="1"/>
    <x v="1"/>
    <x v="110"/>
    <x v="15"/>
    <x v="0"/>
  </r>
  <r>
    <x v="111"/>
    <x v="12"/>
    <x v="0"/>
    <x v="0"/>
    <x v="0"/>
    <x v="108"/>
    <x v="0"/>
    <x v="2"/>
    <x v="111"/>
    <x v="1"/>
    <x v="1"/>
  </r>
  <r>
    <x v="112"/>
    <x v="3"/>
    <x v="1"/>
    <x v="0"/>
    <x v="0"/>
    <x v="109"/>
    <x v="0"/>
    <x v="0"/>
    <x v="112"/>
    <x v="2"/>
    <x v="1"/>
  </r>
  <r>
    <x v="113"/>
    <x v="6"/>
    <x v="0"/>
    <x v="0"/>
    <x v="1"/>
    <x v="110"/>
    <x v="0"/>
    <x v="0"/>
    <x v="113"/>
    <x v="6"/>
    <x v="1"/>
  </r>
  <r>
    <x v="114"/>
    <x v="6"/>
    <x v="0"/>
    <x v="0"/>
    <x v="0"/>
    <x v="111"/>
    <x v="0"/>
    <x v="0"/>
    <x v="114"/>
    <x v="12"/>
    <x v="1"/>
  </r>
  <r>
    <x v="115"/>
    <x v="29"/>
    <x v="1"/>
    <x v="2"/>
    <x v="0"/>
    <x v="112"/>
    <x v="0"/>
    <x v="3"/>
    <x v="115"/>
    <x v="9"/>
    <x v="1"/>
  </r>
  <r>
    <x v="116"/>
    <x v="6"/>
    <x v="1"/>
    <x v="2"/>
    <x v="0"/>
    <x v="113"/>
    <x v="0"/>
    <x v="0"/>
    <x v="116"/>
    <x v="6"/>
    <x v="1"/>
  </r>
  <r>
    <x v="117"/>
    <x v="26"/>
    <x v="1"/>
    <x v="1"/>
    <x v="0"/>
    <x v="114"/>
    <x v="0"/>
    <x v="2"/>
    <x v="117"/>
    <x v="1"/>
    <x v="1"/>
  </r>
  <r>
    <x v="118"/>
    <x v="38"/>
    <x v="0"/>
    <x v="0"/>
    <x v="0"/>
    <x v="115"/>
    <x v="1"/>
    <x v="2"/>
    <x v="118"/>
    <x v="6"/>
    <x v="1"/>
  </r>
  <r>
    <x v="119"/>
    <x v="0"/>
    <x v="0"/>
    <x v="1"/>
    <x v="1"/>
    <x v="116"/>
    <x v="0"/>
    <x v="2"/>
    <x v="119"/>
    <x v="0"/>
    <x v="0"/>
  </r>
  <r>
    <x v="120"/>
    <x v="14"/>
    <x v="1"/>
    <x v="0"/>
    <x v="0"/>
    <x v="117"/>
    <x v="3"/>
    <x v="2"/>
    <x v="120"/>
    <x v="16"/>
    <x v="1"/>
  </r>
  <r>
    <x v="121"/>
    <x v="29"/>
    <x v="1"/>
    <x v="0"/>
    <x v="0"/>
    <x v="118"/>
    <x v="2"/>
    <x v="2"/>
    <x v="121"/>
    <x v="1"/>
    <x v="1"/>
  </r>
  <r>
    <x v="122"/>
    <x v="2"/>
    <x v="1"/>
    <x v="0"/>
    <x v="0"/>
    <x v="119"/>
    <x v="1"/>
    <x v="0"/>
    <x v="122"/>
    <x v="1"/>
    <x v="1"/>
  </r>
  <r>
    <x v="123"/>
    <x v="37"/>
    <x v="1"/>
    <x v="2"/>
    <x v="0"/>
    <x v="120"/>
    <x v="0"/>
    <x v="2"/>
    <x v="123"/>
    <x v="20"/>
    <x v="1"/>
  </r>
  <r>
    <x v="124"/>
    <x v="12"/>
    <x v="0"/>
    <x v="0"/>
    <x v="1"/>
    <x v="121"/>
    <x v="0"/>
    <x v="2"/>
    <x v="124"/>
    <x v="5"/>
    <x v="1"/>
  </r>
  <r>
    <x v="125"/>
    <x v="0"/>
    <x v="0"/>
    <x v="0"/>
    <x v="1"/>
    <x v="122"/>
    <x v="2"/>
    <x v="2"/>
    <x v="125"/>
    <x v="3"/>
    <x v="1"/>
  </r>
  <r>
    <x v="126"/>
    <x v="8"/>
    <x v="1"/>
    <x v="0"/>
    <x v="0"/>
    <x v="123"/>
    <x v="0"/>
    <x v="0"/>
    <x v="126"/>
    <x v="1"/>
    <x v="1"/>
  </r>
  <r>
    <x v="127"/>
    <x v="2"/>
    <x v="1"/>
    <x v="2"/>
    <x v="0"/>
    <x v="124"/>
    <x v="0"/>
    <x v="3"/>
    <x v="127"/>
    <x v="3"/>
    <x v="1"/>
  </r>
  <r>
    <x v="128"/>
    <x v="12"/>
    <x v="1"/>
    <x v="1"/>
    <x v="0"/>
    <x v="125"/>
    <x v="3"/>
    <x v="2"/>
    <x v="128"/>
    <x v="1"/>
    <x v="1"/>
  </r>
  <r>
    <x v="129"/>
    <x v="4"/>
    <x v="1"/>
    <x v="2"/>
    <x v="0"/>
    <x v="126"/>
    <x v="1"/>
    <x v="2"/>
    <x v="129"/>
    <x v="4"/>
    <x v="1"/>
  </r>
  <r>
    <x v="130"/>
    <x v="7"/>
    <x v="1"/>
    <x v="2"/>
    <x v="0"/>
    <x v="127"/>
    <x v="0"/>
    <x v="3"/>
    <x v="130"/>
    <x v="5"/>
    <x v="1"/>
  </r>
  <r>
    <x v="131"/>
    <x v="32"/>
    <x v="1"/>
    <x v="1"/>
    <x v="0"/>
    <x v="128"/>
    <x v="2"/>
    <x v="2"/>
    <x v="131"/>
    <x v="1"/>
    <x v="1"/>
  </r>
  <r>
    <x v="132"/>
    <x v="39"/>
    <x v="0"/>
    <x v="0"/>
    <x v="1"/>
    <x v="129"/>
    <x v="0"/>
    <x v="0"/>
    <x v="132"/>
    <x v="5"/>
    <x v="0"/>
  </r>
  <r>
    <x v="133"/>
    <x v="41"/>
    <x v="1"/>
    <x v="0"/>
    <x v="1"/>
    <x v="130"/>
    <x v="0"/>
    <x v="3"/>
    <x v="133"/>
    <x v="6"/>
    <x v="0"/>
  </r>
  <r>
    <x v="134"/>
    <x v="15"/>
    <x v="1"/>
    <x v="0"/>
    <x v="0"/>
    <x v="131"/>
    <x v="3"/>
    <x v="2"/>
    <x v="134"/>
    <x v="1"/>
    <x v="1"/>
  </r>
  <r>
    <x v="135"/>
    <x v="29"/>
    <x v="0"/>
    <x v="2"/>
    <x v="0"/>
    <x v="132"/>
    <x v="0"/>
    <x v="2"/>
    <x v="135"/>
    <x v="6"/>
    <x v="1"/>
  </r>
  <r>
    <x v="136"/>
    <x v="38"/>
    <x v="1"/>
    <x v="2"/>
    <x v="2"/>
    <x v="133"/>
    <x v="3"/>
    <x v="2"/>
    <x v="136"/>
    <x v="5"/>
    <x v="1"/>
  </r>
  <r>
    <x v="137"/>
    <x v="27"/>
    <x v="1"/>
    <x v="1"/>
    <x v="0"/>
    <x v="134"/>
    <x v="0"/>
    <x v="2"/>
    <x v="137"/>
    <x v="4"/>
    <x v="1"/>
  </r>
  <r>
    <x v="138"/>
    <x v="19"/>
    <x v="1"/>
    <x v="1"/>
    <x v="0"/>
    <x v="135"/>
    <x v="2"/>
    <x v="2"/>
    <x v="138"/>
    <x v="3"/>
    <x v="1"/>
  </r>
  <r>
    <x v="139"/>
    <x v="35"/>
    <x v="0"/>
    <x v="0"/>
    <x v="0"/>
    <x v="136"/>
    <x v="0"/>
    <x v="3"/>
    <x v="139"/>
    <x v="6"/>
    <x v="1"/>
  </r>
  <r>
    <x v="140"/>
    <x v="18"/>
    <x v="1"/>
    <x v="0"/>
    <x v="0"/>
    <x v="137"/>
    <x v="0"/>
    <x v="2"/>
    <x v="140"/>
    <x v="1"/>
    <x v="1"/>
  </r>
  <r>
    <x v="141"/>
    <x v="19"/>
    <x v="1"/>
    <x v="0"/>
    <x v="0"/>
    <x v="138"/>
    <x v="2"/>
    <x v="1"/>
    <x v="141"/>
    <x v="6"/>
    <x v="1"/>
  </r>
  <r>
    <x v="142"/>
    <x v="19"/>
    <x v="1"/>
    <x v="1"/>
    <x v="0"/>
    <x v="139"/>
    <x v="2"/>
    <x v="2"/>
    <x v="142"/>
    <x v="6"/>
    <x v="1"/>
  </r>
  <r>
    <x v="143"/>
    <x v="3"/>
    <x v="1"/>
    <x v="0"/>
    <x v="0"/>
    <x v="140"/>
    <x v="1"/>
    <x v="2"/>
    <x v="143"/>
    <x v="1"/>
    <x v="1"/>
  </r>
  <r>
    <x v="144"/>
    <x v="21"/>
    <x v="0"/>
    <x v="1"/>
    <x v="2"/>
    <x v="141"/>
    <x v="2"/>
    <x v="1"/>
    <x v="144"/>
    <x v="11"/>
    <x v="0"/>
  </r>
  <r>
    <x v="145"/>
    <x v="4"/>
    <x v="0"/>
    <x v="0"/>
    <x v="0"/>
    <x v="142"/>
    <x v="0"/>
    <x v="0"/>
    <x v="145"/>
    <x v="10"/>
    <x v="1"/>
  </r>
  <r>
    <x v="146"/>
    <x v="8"/>
    <x v="1"/>
    <x v="0"/>
    <x v="0"/>
    <x v="143"/>
    <x v="0"/>
    <x v="0"/>
    <x v="146"/>
    <x v="0"/>
    <x v="1"/>
  </r>
  <r>
    <x v="147"/>
    <x v="12"/>
    <x v="1"/>
    <x v="0"/>
    <x v="2"/>
    <x v="144"/>
    <x v="2"/>
    <x v="3"/>
    <x v="147"/>
    <x v="5"/>
    <x v="0"/>
  </r>
  <r>
    <x v="148"/>
    <x v="18"/>
    <x v="1"/>
    <x v="1"/>
    <x v="0"/>
    <x v="145"/>
    <x v="2"/>
    <x v="2"/>
    <x v="148"/>
    <x v="3"/>
    <x v="0"/>
  </r>
  <r>
    <x v="149"/>
    <x v="42"/>
    <x v="0"/>
    <x v="1"/>
    <x v="0"/>
    <x v="146"/>
    <x v="0"/>
    <x v="3"/>
    <x v="149"/>
    <x v="5"/>
    <x v="1"/>
  </r>
  <r>
    <x v="150"/>
    <x v="0"/>
    <x v="1"/>
    <x v="2"/>
    <x v="1"/>
    <x v="147"/>
    <x v="0"/>
    <x v="2"/>
    <x v="150"/>
    <x v="9"/>
    <x v="0"/>
  </r>
  <r>
    <x v="151"/>
    <x v="40"/>
    <x v="1"/>
    <x v="0"/>
    <x v="0"/>
    <x v="148"/>
    <x v="2"/>
    <x v="0"/>
    <x v="151"/>
    <x v="0"/>
    <x v="0"/>
  </r>
  <r>
    <x v="152"/>
    <x v="43"/>
    <x v="0"/>
    <x v="0"/>
    <x v="0"/>
    <x v="149"/>
    <x v="0"/>
    <x v="0"/>
    <x v="152"/>
    <x v="1"/>
    <x v="1"/>
  </r>
  <r>
    <x v="153"/>
    <x v="19"/>
    <x v="1"/>
    <x v="2"/>
    <x v="0"/>
    <x v="150"/>
    <x v="0"/>
    <x v="0"/>
    <x v="153"/>
    <x v="6"/>
    <x v="1"/>
  </r>
  <r>
    <x v="154"/>
    <x v="18"/>
    <x v="1"/>
    <x v="0"/>
    <x v="0"/>
    <x v="151"/>
    <x v="1"/>
    <x v="2"/>
    <x v="154"/>
    <x v="1"/>
    <x v="1"/>
  </r>
  <r>
    <x v="155"/>
    <x v="8"/>
    <x v="1"/>
    <x v="0"/>
    <x v="0"/>
    <x v="152"/>
    <x v="0"/>
    <x v="2"/>
    <x v="155"/>
    <x v="1"/>
    <x v="1"/>
  </r>
  <r>
    <x v="156"/>
    <x v="31"/>
    <x v="1"/>
    <x v="2"/>
    <x v="0"/>
    <x v="153"/>
    <x v="2"/>
    <x v="2"/>
    <x v="156"/>
    <x v="19"/>
    <x v="1"/>
  </r>
  <r>
    <x v="157"/>
    <x v="27"/>
    <x v="1"/>
    <x v="2"/>
    <x v="0"/>
    <x v="154"/>
    <x v="0"/>
    <x v="0"/>
    <x v="157"/>
    <x v="6"/>
    <x v="1"/>
  </r>
  <r>
    <x v="158"/>
    <x v="26"/>
    <x v="1"/>
    <x v="0"/>
    <x v="0"/>
    <x v="155"/>
    <x v="1"/>
    <x v="2"/>
    <x v="158"/>
    <x v="5"/>
    <x v="1"/>
  </r>
  <r>
    <x v="159"/>
    <x v="32"/>
    <x v="1"/>
    <x v="1"/>
    <x v="2"/>
    <x v="156"/>
    <x v="0"/>
    <x v="3"/>
    <x v="159"/>
    <x v="0"/>
    <x v="0"/>
  </r>
  <r>
    <x v="160"/>
    <x v="44"/>
    <x v="1"/>
    <x v="1"/>
    <x v="0"/>
    <x v="157"/>
    <x v="2"/>
    <x v="3"/>
    <x v="160"/>
    <x v="1"/>
    <x v="0"/>
  </r>
  <r>
    <x v="161"/>
    <x v="10"/>
    <x v="0"/>
    <x v="1"/>
    <x v="1"/>
    <x v="158"/>
    <x v="3"/>
    <x v="3"/>
    <x v="161"/>
    <x v="1"/>
    <x v="1"/>
  </r>
  <r>
    <x v="162"/>
    <x v="29"/>
    <x v="1"/>
    <x v="0"/>
    <x v="0"/>
    <x v="159"/>
    <x v="2"/>
    <x v="2"/>
    <x v="162"/>
    <x v="3"/>
    <x v="1"/>
  </r>
  <r>
    <x v="163"/>
    <x v="16"/>
    <x v="1"/>
    <x v="0"/>
    <x v="0"/>
    <x v="160"/>
    <x v="3"/>
    <x v="0"/>
    <x v="163"/>
    <x v="1"/>
    <x v="1"/>
  </r>
  <r>
    <x v="164"/>
    <x v="13"/>
    <x v="1"/>
    <x v="2"/>
    <x v="0"/>
    <x v="161"/>
    <x v="2"/>
    <x v="0"/>
    <x v="164"/>
    <x v="2"/>
    <x v="1"/>
  </r>
  <r>
    <x v="165"/>
    <x v="27"/>
    <x v="1"/>
    <x v="1"/>
    <x v="0"/>
    <x v="162"/>
    <x v="0"/>
    <x v="2"/>
    <x v="165"/>
    <x v="1"/>
    <x v="0"/>
  </r>
  <r>
    <x v="166"/>
    <x v="11"/>
    <x v="0"/>
    <x v="0"/>
    <x v="1"/>
    <x v="163"/>
    <x v="0"/>
    <x v="0"/>
    <x v="166"/>
    <x v="3"/>
    <x v="0"/>
  </r>
  <r>
    <x v="167"/>
    <x v="7"/>
    <x v="1"/>
    <x v="0"/>
    <x v="0"/>
    <x v="164"/>
    <x v="1"/>
    <x v="3"/>
    <x v="167"/>
    <x v="6"/>
    <x v="1"/>
  </r>
  <r>
    <x v="168"/>
    <x v="0"/>
    <x v="0"/>
    <x v="2"/>
    <x v="1"/>
    <x v="165"/>
    <x v="2"/>
    <x v="3"/>
    <x v="168"/>
    <x v="10"/>
    <x v="0"/>
  </r>
  <r>
    <x v="169"/>
    <x v="26"/>
    <x v="1"/>
    <x v="1"/>
    <x v="0"/>
    <x v="166"/>
    <x v="0"/>
    <x v="2"/>
    <x v="169"/>
    <x v="8"/>
    <x v="1"/>
  </r>
  <r>
    <x v="170"/>
    <x v="13"/>
    <x v="0"/>
    <x v="0"/>
    <x v="0"/>
    <x v="167"/>
    <x v="0"/>
    <x v="2"/>
    <x v="170"/>
    <x v="3"/>
    <x v="1"/>
  </r>
  <r>
    <x v="171"/>
    <x v="22"/>
    <x v="1"/>
    <x v="0"/>
    <x v="0"/>
    <x v="168"/>
    <x v="2"/>
    <x v="2"/>
    <x v="171"/>
    <x v="1"/>
    <x v="1"/>
  </r>
  <r>
    <x v="172"/>
    <x v="8"/>
    <x v="0"/>
    <x v="0"/>
    <x v="0"/>
    <x v="89"/>
    <x v="0"/>
    <x v="2"/>
    <x v="172"/>
    <x v="4"/>
    <x v="1"/>
  </r>
  <r>
    <x v="173"/>
    <x v="29"/>
    <x v="1"/>
    <x v="0"/>
    <x v="0"/>
    <x v="169"/>
    <x v="1"/>
    <x v="3"/>
    <x v="173"/>
    <x v="4"/>
    <x v="1"/>
  </r>
  <r>
    <x v="174"/>
    <x v="4"/>
    <x v="1"/>
    <x v="0"/>
    <x v="0"/>
    <x v="170"/>
    <x v="0"/>
    <x v="0"/>
    <x v="174"/>
    <x v="0"/>
    <x v="0"/>
  </r>
  <r>
    <x v="175"/>
    <x v="12"/>
    <x v="1"/>
    <x v="0"/>
    <x v="0"/>
    <x v="171"/>
    <x v="1"/>
    <x v="2"/>
    <x v="175"/>
    <x v="1"/>
    <x v="1"/>
  </r>
  <r>
    <x v="176"/>
    <x v="10"/>
    <x v="0"/>
    <x v="0"/>
    <x v="1"/>
    <x v="172"/>
    <x v="0"/>
    <x v="2"/>
    <x v="176"/>
    <x v="5"/>
    <x v="1"/>
  </r>
  <r>
    <x v="177"/>
    <x v="8"/>
    <x v="1"/>
    <x v="2"/>
    <x v="1"/>
    <x v="173"/>
    <x v="0"/>
    <x v="3"/>
    <x v="177"/>
    <x v="3"/>
    <x v="1"/>
  </r>
  <r>
    <x v="178"/>
    <x v="45"/>
    <x v="1"/>
    <x v="0"/>
    <x v="0"/>
    <x v="174"/>
    <x v="2"/>
    <x v="2"/>
    <x v="178"/>
    <x v="6"/>
    <x v="1"/>
  </r>
  <r>
    <x v="179"/>
    <x v="21"/>
    <x v="1"/>
    <x v="2"/>
    <x v="1"/>
    <x v="175"/>
    <x v="1"/>
    <x v="3"/>
    <x v="179"/>
    <x v="7"/>
    <x v="0"/>
  </r>
  <r>
    <x v="180"/>
    <x v="44"/>
    <x v="1"/>
    <x v="0"/>
    <x v="0"/>
    <x v="176"/>
    <x v="0"/>
    <x v="3"/>
    <x v="180"/>
    <x v="11"/>
    <x v="0"/>
  </r>
  <r>
    <x v="181"/>
    <x v="14"/>
    <x v="0"/>
    <x v="0"/>
    <x v="0"/>
    <x v="177"/>
    <x v="2"/>
    <x v="1"/>
    <x v="181"/>
    <x v="10"/>
    <x v="1"/>
  </r>
  <r>
    <x v="182"/>
    <x v="23"/>
    <x v="1"/>
    <x v="0"/>
    <x v="1"/>
    <x v="178"/>
    <x v="2"/>
    <x v="2"/>
    <x v="182"/>
    <x v="23"/>
    <x v="1"/>
  </r>
  <r>
    <x v="183"/>
    <x v="43"/>
    <x v="1"/>
    <x v="1"/>
    <x v="0"/>
    <x v="179"/>
    <x v="2"/>
    <x v="0"/>
    <x v="183"/>
    <x v="10"/>
    <x v="0"/>
  </r>
  <r>
    <x v="184"/>
    <x v="36"/>
    <x v="1"/>
    <x v="0"/>
    <x v="2"/>
    <x v="180"/>
    <x v="3"/>
    <x v="0"/>
    <x v="184"/>
    <x v="1"/>
    <x v="0"/>
  </r>
  <r>
    <x v="185"/>
    <x v="12"/>
    <x v="1"/>
    <x v="2"/>
    <x v="2"/>
    <x v="181"/>
    <x v="0"/>
    <x v="0"/>
    <x v="185"/>
    <x v="3"/>
    <x v="0"/>
  </r>
  <r>
    <x v="186"/>
    <x v="7"/>
    <x v="0"/>
    <x v="0"/>
    <x v="0"/>
    <x v="182"/>
    <x v="0"/>
    <x v="0"/>
    <x v="186"/>
    <x v="3"/>
    <x v="1"/>
  </r>
  <r>
    <x v="187"/>
    <x v="12"/>
    <x v="1"/>
    <x v="0"/>
    <x v="0"/>
    <x v="183"/>
    <x v="0"/>
    <x v="3"/>
    <x v="187"/>
    <x v="1"/>
    <x v="1"/>
  </r>
  <r>
    <x v="188"/>
    <x v="26"/>
    <x v="0"/>
    <x v="0"/>
    <x v="0"/>
    <x v="184"/>
    <x v="0"/>
    <x v="2"/>
    <x v="188"/>
    <x v="6"/>
    <x v="1"/>
  </r>
  <r>
    <x v="189"/>
    <x v="6"/>
    <x v="0"/>
    <x v="0"/>
    <x v="0"/>
    <x v="185"/>
    <x v="1"/>
    <x v="0"/>
    <x v="189"/>
    <x v="1"/>
    <x v="0"/>
  </r>
  <r>
    <x v="190"/>
    <x v="11"/>
    <x v="0"/>
    <x v="0"/>
    <x v="1"/>
    <x v="186"/>
    <x v="1"/>
    <x v="0"/>
    <x v="190"/>
    <x v="11"/>
    <x v="0"/>
  </r>
  <r>
    <x v="191"/>
    <x v="8"/>
    <x v="1"/>
    <x v="0"/>
    <x v="0"/>
    <x v="187"/>
    <x v="1"/>
    <x v="1"/>
    <x v="191"/>
    <x v="4"/>
    <x v="1"/>
  </r>
  <r>
    <x v="192"/>
    <x v="31"/>
    <x v="1"/>
    <x v="2"/>
    <x v="1"/>
    <x v="188"/>
    <x v="0"/>
    <x v="0"/>
    <x v="192"/>
    <x v="6"/>
    <x v="1"/>
  </r>
  <r>
    <x v="193"/>
    <x v="14"/>
    <x v="0"/>
    <x v="1"/>
    <x v="0"/>
    <x v="189"/>
    <x v="0"/>
    <x v="2"/>
    <x v="193"/>
    <x v="1"/>
    <x v="1"/>
  </r>
  <r>
    <x v="194"/>
    <x v="1"/>
    <x v="1"/>
    <x v="1"/>
    <x v="0"/>
    <x v="190"/>
    <x v="0"/>
    <x v="0"/>
    <x v="194"/>
    <x v="21"/>
    <x v="0"/>
  </r>
  <r>
    <x v="195"/>
    <x v="22"/>
    <x v="1"/>
    <x v="0"/>
    <x v="0"/>
    <x v="191"/>
    <x v="0"/>
    <x v="2"/>
    <x v="195"/>
    <x v="6"/>
    <x v="1"/>
  </r>
  <r>
    <x v="196"/>
    <x v="8"/>
    <x v="1"/>
    <x v="2"/>
    <x v="0"/>
    <x v="192"/>
    <x v="0"/>
    <x v="3"/>
    <x v="196"/>
    <x v="4"/>
    <x v="1"/>
  </r>
  <r>
    <x v="197"/>
    <x v="3"/>
    <x v="1"/>
    <x v="0"/>
    <x v="0"/>
    <x v="193"/>
    <x v="2"/>
    <x v="2"/>
    <x v="197"/>
    <x v="1"/>
    <x v="1"/>
  </r>
  <r>
    <x v="198"/>
    <x v="26"/>
    <x v="1"/>
    <x v="0"/>
    <x v="1"/>
    <x v="194"/>
    <x v="0"/>
    <x v="0"/>
    <x v="198"/>
    <x v="6"/>
    <x v="0"/>
  </r>
  <r>
    <x v="199"/>
    <x v="14"/>
    <x v="0"/>
    <x v="1"/>
    <x v="0"/>
    <x v="195"/>
    <x v="1"/>
    <x v="1"/>
    <x v="199"/>
    <x v="7"/>
    <x v="1"/>
  </r>
  <r>
    <x v="200"/>
    <x v="8"/>
    <x v="1"/>
    <x v="2"/>
    <x v="0"/>
    <x v="196"/>
    <x v="0"/>
    <x v="2"/>
    <x v="200"/>
    <x v="7"/>
    <x v="1"/>
  </r>
  <r>
    <x v="201"/>
    <x v="2"/>
    <x v="1"/>
    <x v="0"/>
    <x v="0"/>
    <x v="197"/>
    <x v="1"/>
    <x v="2"/>
    <x v="201"/>
    <x v="9"/>
    <x v="1"/>
  </r>
  <r>
    <x v="202"/>
    <x v="18"/>
    <x v="1"/>
    <x v="2"/>
    <x v="0"/>
    <x v="198"/>
    <x v="1"/>
    <x v="0"/>
    <x v="202"/>
    <x v="7"/>
    <x v="0"/>
  </r>
  <r>
    <x v="203"/>
    <x v="29"/>
    <x v="1"/>
    <x v="0"/>
    <x v="0"/>
    <x v="199"/>
    <x v="3"/>
    <x v="0"/>
    <x v="203"/>
    <x v="6"/>
    <x v="1"/>
  </r>
  <r>
    <x v="204"/>
    <x v="2"/>
    <x v="1"/>
    <x v="2"/>
    <x v="0"/>
    <x v="200"/>
    <x v="3"/>
    <x v="2"/>
    <x v="204"/>
    <x v="14"/>
    <x v="1"/>
  </r>
  <r>
    <x v="205"/>
    <x v="0"/>
    <x v="1"/>
    <x v="0"/>
    <x v="0"/>
    <x v="201"/>
    <x v="0"/>
    <x v="3"/>
    <x v="205"/>
    <x v="24"/>
    <x v="0"/>
  </r>
  <r>
    <x v="206"/>
    <x v="1"/>
    <x v="1"/>
    <x v="1"/>
    <x v="0"/>
    <x v="202"/>
    <x v="2"/>
    <x v="0"/>
    <x v="206"/>
    <x v="24"/>
    <x v="1"/>
  </r>
  <r>
    <x v="207"/>
    <x v="1"/>
    <x v="1"/>
    <x v="0"/>
    <x v="0"/>
    <x v="203"/>
    <x v="0"/>
    <x v="2"/>
    <x v="207"/>
    <x v="6"/>
    <x v="1"/>
  </r>
  <r>
    <x v="208"/>
    <x v="5"/>
    <x v="1"/>
    <x v="0"/>
    <x v="0"/>
    <x v="204"/>
    <x v="0"/>
    <x v="3"/>
    <x v="208"/>
    <x v="7"/>
    <x v="1"/>
  </r>
  <r>
    <x v="209"/>
    <x v="14"/>
    <x v="1"/>
    <x v="0"/>
    <x v="0"/>
    <x v="205"/>
    <x v="2"/>
    <x v="2"/>
    <x v="209"/>
    <x v="2"/>
    <x v="1"/>
  </r>
  <r>
    <x v="210"/>
    <x v="39"/>
    <x v="0"/>
    <x v="0"/>
    <x v="0"/>
    <x v="206"/>
    <x v="0"/>
    <x v="3"/>
    <x v="210"/>
    <x v="5"/>
    <x v="0"/>
  </r>
  <r>
    <x v="211"/>
    <x v="7"/>
    <x v="0"/>
    <x v="1"/>
    <x v="0"/>
    <x v="207"/>
    <x v="0"/>
    <x v="3"/>
    <x v="211"/>
    <x v="3"/>
    <x v="0"/>
  </r>
  <r>
    <x v="212"/>
    <x v="10"/>
    <x v="0"/>
    <x v="0"/>
    <x v="0"/>
    <x v="102"/>
    <x v="0"/>
    <x v="1"/>
    <x v="212"/>
    <x v="9"/>
    <x v="1"/>
  </r>
  <r>
    <x v="213"/>
    <x v="23"/>
    <x v="1"/>
    <x v="2"/>
    <x v="0"/>
    <x v="208"/>
    <x v="0"/>
    <x v="0"/>
    <x v="213"/>
    <x v="4"/>
    <x v="1"/>
  </r>
  <r>
    <x v="214"/>
    <x v="37"/>
    <x v="1"/>
    <x v="0"/>
    <x v="0"/>
    <x v="209"/>
    <x v="0"/>
    <x v="2"/>
    <x v="214"/>
    <x v="6"/>
    <x v="1"/>
  </r>
  <r>
    <x v="215"/>
    <x v="44"/>
    <x v="0"/>
    <x v="0"/>
    <x v="1"/>
    <x v="210"/>
    <x v="0"/>
    <x v="0"/>
    <x v="215"/>
    <x v="10"/>
    <x v="0"/>
  </r>
  <r>
    <x v="216"/>
    <x v="18"/>
    <x v="0"/>
    <x v="0"/>
    <x v="0"/>
    <x v="211"/>
    <x v="2"/>
    <x v="2"/>
    <x v="216"/>
    <x v="1"/>
    <x v="1"/>
  </r>
  <r>
    <x v="217"/>
    <x v="24"/>
    <x v="1"/>
    <x v="0"/>
    <x v="2"/>
    <x v="212"/>
    <x v="0"/>
    <x v="3"/>
    <x v="217"/>
    <x v="11"/>
    <x v="0"/>
  </r>
  <r>
    <x v="218"/>
    <x v="10"/>
    <x v="1"/>
    <x v="0"/>
    <x v="1"/>
    <x v="213"/>
    <x v="0"/>
    <x v="0"/>
    <x v="218"/>
    <x v="6"/>
    <x v="0"/>
  </r>
  <r>
    <x v="219"/>
    <x v="46"/>
    <x v="0"/>
    <x v="2"/>
    <x v="0"/>
    <x v="214"/>
    <x v="0"/>
    <x v="0"/>
    <x v="219"/>
    <x v="1"/>
    <x v="1"/>
  </r>
  <r>
    <x v="220"/>
    <x v="33"/>
    <x v="1"/>
    <x v="1"/>
    <x v="0"/>
    <x v="215"/>
    <x v="0"/>
    <x v="1"/>
    <x v="220"/>
    <x v="4"/>
    <x v="1"/>
  </r>
  <r>
    <x v="221"/>
    <x v="19"/>
    <x v="1"/>
    <x v="0"/>
    <x v="2"/>
    <x v="216"/>
    <x v="2"/>
    <x v="1"/>
    <x v="221"/>
    <x v="11"/>
    <x v="1"/>
  </r>
  <r>
    <x v="222"/>
    <x v="26"/>
    <x v="0"/>
    <x v="0"/>
    <x v="2"/>
    <x v="217"/>
    <x v="3"/>
    <x v="2"/>
    <x v="222"/>
    <x v="2"/>
    <x v="1"/>
  </r>
  <r>
    <x v="223"/>
    <x v="7"/>
    <x v="1"/>
    <x v="2"/>
    <x v="0"/>
    <x v="218"/>
    <x v="0"/>
    <x v="2"/>
    <x v="223"/>
    <x v="25"/>
    <x v="1"/>
  </r>
  <r>
    <x v="224"/>
    <x v="3"/>
    <x v="1"/>
    <x v="0"/>
    <x v="0"/>
    <x v="219"/>
    <x v="0"/>
    <x v="0"/>
    <x v="224"/>
    <x v="5"/>
    <x v="1"/>
  </r>
  <r>
    <x v="225"/>
    <x v="26"/>
    <x v="1"/>
    <x v="2"/>
    <x v="0"/>
    <x v="220"/>
    <x v="3"/>
    <x v="3"/>
    <x v="225"/>
    <x v="3"/>
    <x v="1"/>
  </r>
  <r>
    <x v="226"/>
    <x v="44"/>
    <x v="1"/>
    <x v="1"/>
    <x v="0"/>
    <x v="221"/>
    <x v="1"/>
    <x v="1"/>
    <x v="226"/>
    <x v="4"/>
    <x v="0"/>
  </r>
  <r>
    <x v="227"/>
    <x v="7"/>
    <x v="0"/>
    <x v="2"/>
    <x v="0"/>
    <x v="222"/>
    <x v="0"/>
    <x v="0"/>
    <x v="227"/>
    <x v="2"/>
    <x v="1"/>
  </r>
  <r>
    <x v="228"/>
    <x v="36"/>
    <x v="0"/>
    <x v="1"/>
    <x v="0"/>
    <x v="223"/>
    <x v="1"/>
    <x v="0"/>
    <x v="228"/>
    <x v="21"/>
    <x v="0"/>
  </r>
  <r>
    <x v="229"/>
    <x v="1"/>
    <x v="0"/>
    <x v="1"/>
    <x v="0"/>
    <x v="224"/>
    <x v="1"/>
    <x v="3"/>
    <x v="229"/>
    <x v="2"/>
    <x v="0"/>
  </r>
  <r>
    <x v="230"/>
    <x v="27"/>
    <x v="1"/>
    <x v="0"/>
    <x v="0"/>
    <x v="225"/>
    <x v="0"/>
    <x v="2"/>
    <x v="230"/>
    <x v="0"/>
    <x v="1"/>
  </r>
  <r>
    <x v="231"/>
    <x v="13"/>
    <x v="1"/>
    <x v="1"/>
    <x v="2"/>
    <x v="226"/>
    <x v="2"/>
    <x v="1"/>
    <x v="231"/>
    <x v="11"/>
    <x v="1"/>
  </r>
  <r>
    <x v="232"/>
    <x v="26"/>
    <x v="0"/>
    <x v="1"/>
    <x v="0"/>
    <x v="227"/>
    <x v="2"/>
    <x v="0"/>
    <x v="232"/>
    <x v="0"/>
    <x v="0"/>
  </r>
  <r>
    <x v="233"/>
    <x v="29"/>
    <x v="1"/>
    <x v="0"/>
    <x v="0"/>
    <x v="228"/>
    <x v="2"/>
    <x v="2"/>
    <x v="233"/>
    <x v="11"/>
    <x v="0"/>
  </r>
  <r>
    <x v="234"/>
    <x v="7"/>
    <x v="1"/>
    <x v="0"/>
    <x v="0"/>
    <x v="229"/>
    <x v="1"/>
    <x v="3"/>
    <x v="234"/>
    <x v="15"/>
    <x v="1"/>
  </r>
  <r>
    <x v="235"/>
    <x v="6"/>
    <x v="1"/>
    <x v="0"/>
    <x v="0"/>
    <x v="230"/>
    <x v="0"/>
    <x v="0"/>
    <x v="235"/>
    <x v="0"/>
    <x v="0"/>
  </r>
  <r>
    <x v="236"/>
    <x v="47"/>
    <x v="1"/>
    <x v="0"/>
    <x v="0"/>
    <x v="231"/>
    <x v="0"/>
    <x v="0"/>
    <x v="236"/>
    <x v="11"/>
    <x v="0"/>
  </r>
  <r>
    <x v="237"/>
    <x v="40"/>
    <x v="1"/>
    <x v="0"/>
    <x v="2"/>
    <x v="232"/>
    <x v="0"/>
    <x v="3"/>
    <x v="237"/>
    <x v="22"/>
    <x v="0"/>
  </r>
  <r>
    <x v="238"/>
    <x v="16"/>
    <x v="0"/>
    <x v="0"/>
    <x v="1"/>
    <x v="233"/>
    <x v="0"/>
    <x v="0"/>
    <x v="238"/>
    <x v="6"/>
    <x v="1"/>
  </r>
  <r>
    <x v="239"/>
    <x v="7"/>
    <x v="1"/>
    <x v="0"/>
    <x v="0"/>
    <x v="234"/>
    <x v="1"/>
    <x v="0"/>
    <x v="239"/>
    <x v="1"/>
    <x v="0"/>
  </r>
  <r>
    <x v="240"/>
    <x v="44"/>
    <x v="1"/>
    <x v="2"/>
    <x v="0"/>
    <x v="235"/>
    <x v="3"/>
    <x v="3"/>
    <x v="240"/>
    <x v="14"/>
    <x v="0"/>
  </r>
  <r>
    <x v="241"/>
    <x v="48"/>
    <x v="1"/>
    <x v="2"/>
    <x v="1"/>
    <x v="236"/>
    <x v="0"/>
    <x v="0"/>
    <x v="241"/>
    <x v="1"/>
    <x v="0"/>
  </r>
  <r>
    <x v="242"/>
    <x v="1"/>
    <x v="1"/>
    <x v="0"/>
    <x v="0"/>
    <x v="237"/>
    <x v="2"/>
    <x v="3"/>
    <x v="242"/>
    <x v="3"/>
    <x v="1"/>
  </r>
  <r>
    <x v="243"/>
    <x v="8"/>
    <x v="0"/>
    <x v="0"/>
    <x v="0"/>
    <x v="238"/>
    <x v="2"/>
    <x v="2"/>
    <x v="243"/>
    <x v="6"/>
    <x v="1"/>
  </r>
  <r>
    <x v="244"/>
    <x v="24"/>
    <x v="1"/>
    <x v="0"/>
    <x v="0"/>
    <x v="239"/>
    <x v="0"/>
    <x v="0"/>
    <x v="244"/>
    <x v="6"/>
    <x v="1"/>
  </r>
  <r>
    <x v="245"/>
    <x v="7"/>
    <x v="1"/>
    <x v="1"/>
    <x v="0"/>
    <x v="240"/>
    <x v="0"/>
    <x v="0"/>
    <x v="245"/>
    <x v="6"/>
    <x v="0"/>
  </r>
  <r>
    <x v="246"/>
    <x v="14"/>
    <x v="1"/>
    <x v="0"/>
    <x v="0"/>
    <x v="241"/>
    <x v="2"/>
    <x v="2"/>
    <x v="246"/>
    <x v="3"/>
    <x v="1"/>
  </r>
  <r>
    <x v="247"/>
    <x v="7"/>
    <x v="0"/>
    <x v="0"/>
    <x v="0"/>
    <x v="242"/>
    <x v="0"/>
    <x v="0"/>
    <x v="247"/>
    <x v="3"/>
    <x v="0"/>
  </r>
  <r>
    <x v="248"/>
    <x v="3"/>
    <x v="1"/>
    <x v="0"/>
    <x v="1"/>
    <x v="243"/>
    <x v="0"/>
    <x v="0"/>
    <x v="248"/>
    <x v="0"/>
    <x v="0"/>
  </r>
  <r>
    <x v="249"/>
    <x v="24"/>
    <x v="0"/>
    <x v="1"/>
    <x v="1"/>
    <x v="244"/>
    <x v="0"/>
    <x v="2"/>
    <x v="249"/>
    <x v="1"/>
    <x v="1"/>
  </r>
  <r>
    <x v="250"/>
    <x v="13"/>
    <x v="1"/>
    <x v="1"/>
    <x v="0"/>
    <x v="245"/>
    <x v="0"/>
    <x v="2"/>
    <x v="250"/>
    <x v="1"/>
    <x v="1"/>
  </r>
  <r>
    <x v="251"/>
    <x v="32"/>
    <x v="1"/>
    <x v="2"/>
    <x v="1"/>
    <x v="246"/>
    <x v="2"/>
    <x v="2"/>
    <x v="251"/>
    <x v="26"/>
    <x v="1"/>
  </r>
  <r>
    <x v="252"/>
    <x v="2"/>
    <x v="1"/>
    <x v="0"/>
    <x v="1"/>
    <x v="247"/>
    <x v="1"/>
    <x v="3"/>
    <x v="252"/>
    <x v="24"/>
    <x v="1"/>
  </r>
  <r>
    <x v="253"/>
    <x v="49"/>
    <x v="1"/>
    <x v="0"/>
    <x v="0"/>
    <x v="248"/>
    <x v="2"/>
    <x v="2"/>
    <x v="253"/>
    <x v="14"/>
    <x v="1"/>
  </r>
  <r>
    <x v="254"/>
    <x v="6"/>
    <x v="1"/>
    <x v="0"/>
    <x v="0"/>
    <x v="249"/>
    <x v="0"/>
    <x v="3"/>
    <x v="254"/>
    <x v="5"/>
    <x v="1"/>
  </r>
  <r>
    <x v="255"/>
    <x v="31"/>
    <x v="1"/>
    <x v="1"/>
    <x v="2"/>
    <x v="250"/>
    <x v="0"/>
    <x v="0"/>
    <x v="255"/>
    <x v="0"/>
    <x v="1"/>
  </r>
  <r>
    <x v="256"/>
    <x v="29"/>
    <x v="0"/>
    <x v="0"/>
    <x v="0"/>
    <x v="251"/>
    <x v="1"/>
    <x v="2"/>
    <x v="256"/>
    <x v="2"/>
    <x v="1"/>
  </r>
  <r>
    <x v="257"/>
    <x v="35"/>
    <x v="0"/>
    <x v="1"/>
    <x v="0"/>
    <x v="252"/>
    <x v="0"/>
    <x v="0"/>
    <x v="257"/>
    <x v="6"/>
    <x v="0"/>
  </r>
  <r>
    <x v="258"/>
    <x v="35"/>
    <x v="1"/>
    <x v="0"/>
    <x v="0"/>
    <x v="253"/>
    <x v="2"/>
    <x v="2"/>
    <x v="258"/>
    <x v="6"/>
    <x v="1"/>
  </r>
  <r>
    <x v="259"/>
    <x v="12"/>
    <x v="1"/>
    <x v="2"/>
    <x v="0"/>
    <x v="192"/>
    <x v="2"/>
    <x v="2"/>
    <x v="259"/>
    <x v="4"/>
    <x v="1"/>
  </r>
  <r>
    <x v="260"/>
    <x v="10"/>
    <x v="1"/>
    <x v="0"/>
    <x v="0"/>
    <x v="254"/>
    <x v="0"/>
    <x v="2"/>
    <x v="260"/>
    <x v="3"/>
    <x v="0"/>
  </r>
  <r>
    <x v="261"/>
    <x v="6"/>
    <x v="1"/>
    <x v="0"/>
    <x v="0"/>
    <x v="255"/>
    <x v="0"/>
    <x v="1"/>
    <x v="261"/>
    <x v="0"/>
    <x v="1"/>
  </r>
  <r>
    <x v="262"/>
    <x v="2"/>
    <x v="1"/>
    <x v="0"/>
    <x v="2"/>
    <x v="256"/>
    <x v="2"/>
    <x v="1"/>
    <x v="262"/>
    <x v="2"/>
    <x v="0"/>
  </r>
  <r>
    <x v="263"/>
    <x v="19"/>
    <x v="1"/>
    <x v="2"/>
    <x v="0"/>
    <x v="257"/>
    <x v="0"/>
    <x v="0"/>
    <x v="263"/>
    <x v="5"/>
    <x v="1"/>
  </r>
  <r>
    <x v="264"/>
    <x v="0"/>
    <x v="0"/>
    <x v="0"/>
    <x v="1"/>
    <x v="258"/>
    <x v="0"/>
    <x v="0"/>
    <x v="264"/>
    <x v="3"/>
    <x v="1"/>
  </r>
  <r>
    <x v="265"/>
    <x v="16"/>
    <x v="1"/>
    <x v="0"/>
    <x v="0"/>
    <x v="259"/>
    <x v="1"/>
    <x v="3"/>
    <x v="265"/>
    <x v="11"/>
    <x v="0"/>
  </r>
  <r>
    <x v="266"/>
    <x v="6"/>
    <x v="1"/>
    <x v="0"/>
    <x v="1"/>
    <x v="260"/>
    <x v="0"/>
    <x v="3"/>
    <x v="266"/>
    <x v="0"/>
    <x v="1"/>
  </r>
  <r>
    <x v="267"/>
    <x v="36"/>
    <x v="1"/>
    <x v="0"/>
    <x v="0"/>
    <x v="261"/>
    <x v="2"/>
    <x v="3"/>
    <x v="267"/>
    <x v="11"/>
    <x v="0"/>
  </r>
  <r>
    <x v="268"/>
    <x v="37"/>
    <x v="1"/>
    <x v="0"/>
    <x v="0"/>
    <x v="262"/>
    <x v="0"/>
    <x v="0"/>
    <x v="268"/>
    <x v="6"/>
    <x v="1"/>
  </r>
  <r>
    <x v="269"/>
    <x v="14"/>
    <x v="1"/>
    <x v="0"/>
    <x v="0"/>
    <x v="263"/>
    <x v="0"/>
    <x v="3"/>
    <x v="269"/>
    <x v="12"/>
    <x v="1"/>
  </r>
  <r>
    <x v="270"/>
    <x v="14"/>
    <x v="0"/>
    <x v="0"/>
    <x v="1"/>
    <x v="264"/>
    <x v="3"/>
    <x v="3"/>
    <x v="270"/>
    <x v="1"/>
    <x v="1"/>
  </r>
  <r>
    <x v="271"/>
    <x v="3"/>
    <x v="0"/>
    <x v="2"/>
    <x v="0"/>
    <x v="265"/>
    <x v="0"/>
    <x v="3"/>
    <x v="271"/>
    <x v="3"/>
    <x v="0"/>
  </r>
  <r>
    <x v="272"/>
    <x v="14"/>
    <x v="1"/>
    <x v="2"/>
    <x v="0"/>
    <x v="266"/>
    <x v="0"/>
    <x v="0"/>
    <x v="272"/>
    <x v="6"/>
    <x v="1"/>
  </r>
  <r>
    <x v="273"/>
    <x v="0"/>
    <x v="0"/>
    <x v="2"/>
    <x v="0"/>
    <x v="267"/>
    <x v="0"/>
    <x v="3"/>
    <x v="273"/>
    <x v="1"/>
    <x v="0"/>
  </r>
  <r>
    <x v="274"/>
    <x v="35"/>
    <x v="1"/>
    <x v="0"/>
    <x v="0"/>
    <x v="268"/>
    <x v="1"/>
    <x v="1"/>
    <x v="125"/>
    <x v="5"/>
    <x v="1"/>
  </r>
  <r>
    <x v="275"/>
    <x v="26"/>
    <x v="1"/>
    <x v="2"/>
    <x v="0"/>
    <x v="269"/>
    <x v="0"/>
    <x v="2"/>
    <x v="274"/>
    <x v="1"/>
    <x v="1"/>
  </r>
  <r>
    <x v="276"/>
    <x v="12"/>
    <x v="1"/>
    <x v="0"/>
    <x v="0"/>
    <x v="270"/>
    <x v="0"/>
    <x v="0"/>
    <x v="275"/>
    <x v="11"/>
    <x v="1"/>
  </r>
  <r>
    <x v="277"/>
    <x v="40"/>
    <x v="0"/>
    <x v="0"/>
    <x v="0"/>
    <x v="271"/>
    <x v="1"/>
    <x v="3"/>
    <x v="276"/>
    <x v="0"/>
    <x v="0"/>
  </r>
  <r>
    <x v="278"/>
    <x v="5"/>
    <x v="1"/>
    <x v="0"/>
    <x v="0"/>
    <x v="272"/>
    <x v="0"/>
    <x v="2"/>
    <x v="277"/>
    <x v="3"/>
    <x v="1"/>
  </r>
  <r>
    <x v="279"/>
    <x v="4"/>
    <x v="1"/>
    <x v="1"/>
    <x v="2"/>
    <x v="273"/>
    <x v="0"/>
    <x v="0"/>
    <x v="278"/>
    <x v="1"/>
    <x v="1"/>
  </r>
  <r>
    <x v="280"/>
    <x v="50"/>
    <x v="0"/>
    <x v="0"/>
    <x v="0"/>
    <x v="274"/>
    <x v="2"/>
    <x v="2"/>
    <x v="279"/>
    <x v="2"/>
    <x v="1"/>
  </r>
  <r>
    <x v="281"/>
    <x v="26"/>
    <x v="1"/>
    <x v="1"/>
    <x v="0"/>
    <x v="275"/>
    <x v="2"/>
    <x v="1"/>
    <x v="280"/>
    <x v="5"/>
    <x v="1"/>
  </r>
  <r>
    <x v="282"/>
    <x v="12"/>
    <x v="1"/>
    <x v="0"/>
    <x v="0"/>
    <x v="276"/>
    <x v="0"/>
    <x v="1"/>
    <x v="281"/>
    <x v="1"/>
    <x v="1"/>
  </r>
  <r>
    <x v="283"/>
    <x v="1"/>
    <x v="1"/>
    <x v="0"/>
    <x v="0"/>
    <x v="277"/>
    <x v="0"/>
    <x v="3"/>
    <x v="282"/>
    <x v="27"/>
    <x v="1"/>
  </r>
  <r>
    <x v="284"/>
    <x v="39"/>
    <x v="1"/>
    <x v="0"/>
    <x v="0"/>
    <x v="278"/>
    <x v="1"/>
    <x v="0"/>
    <x v="283"/>
    <x v="6"/>
    <x v="0"/>
  </r>
  <r>
    <x v="285"/>
    <x v="4"/>
    <x v="0"/>
    <x v="0"/>
    <x v="0"/>
    <x v="279"/>
    <x v="3"/>
    <x v="2"/>
    <x v="284"/>
    <x v="1"/>
    <x v="1"/>
  </r>
  <r>
    <x v="286"/>
    <x v="39"/>
    <x v="0"/>
    <x v="0"/>
    <x v="0"/>
    <x v="280"/>
    <x v="0"/>
    <x v="3"/>
    <x v="285"/>
    <x v="1"/>
    <x v="0"/>
  </r>
  <r>
    <x v="287"/>
    <x v="7"/>
    <x v="1"/>
    <x v="0"/>
    <x v="0"/>
    <x v="281"/>
    <x v="0"/>
    <x v="2"/>
    <x v="286"/>
    <x v="0"/>
    <x v="1"/>
  </r>
  <r>
    <x v="288"/>
    <x v="3"/>
    <x v="1"/>
    <x v="0"/>
    <x v="1"/>
    <x v="282"/>
    <x v="3"/>
    <x v="3"/>
    <x v="287"/>
    <x v="3"/>
    <x v="1"/>
  </r>
  <r>
    <x v="289"/>
    <x v="41"/>
    <x v="1"/>
    <x v="0"/>
    <x v="2"/>
    <x v="283"/>
    <x v="0"/>
    <x v="0"/>
    <x v="288"/>
    <x v="11"/>
    <x v="0"/>
  </r>
  <r>
    <x v="290"/>
    <x v="1"/>
    <x v="1"/>
    <x v="2"/>
    <x v="0"/>
    <x v="284"/>
    <x v="0"/>
    <x v="2"/>
    <x v="289"/>
    <x v="1"/>
    <x v="1"/>
  </r>
  <r>
    <x v="291"/>
    <x v="8"/>
    <x v="1"/>
    <x v="1"/>
    <x v="0"/>
    <x v="285"/>
    <x v="0"/>
    <x v="1"/>
    <x v="290"/>
    <x v="5"/>
    <x v="0"/>
  </r>
  <r>
    <x v="292"/>
    <x v="41"/>
    <x v="1"/>
    <x v="2"/>
    <x v="0"/>
    <x v="286"/>
    <x v="2"/>
    <x v="2"/>
    <x v="291"/>
    <x v="6"/>
    <x v="1"/>
  </r>
  <r>
    <x v="293"/>
    <x v="0"/>
    <x v="0"/>
    <x v="0"/>
    <x v="1"/>
    <x v="287"/>
    <x v="0"/>
    <x v="0"/>
    <x v="292"/>
    <x v="3"/>
    <x v="0"/>
  </r>
  <r>
    <x v="294"/>
    <x v="6"/>
    <x v="0"/>
    <x v="0"/>
    <x v="0"/>
    <x v="288"/>
    <x v="2"/>
    <x v="1"/>
    <x v="293"/>
    <x v="11"/>
    <x v="1"/>
  </r>
  <r>
    <x v="295"/>
    <x v="13"/>
    <x v="1"/>
    <x v="0"/>
    <x v="0"/>
    <x v="289"/>
    <x v="3"/>
    <x v="3"/>
    <x v="294"/>
    <x v="3"/>
    <x v="1"/>
  </r>
  <r>
    <x v="296"/>
    <x v="13"/>
    <x v="1"/>
    <x v="1"/>
    <x v="2"/>
    <x v="290"/>
    <x v="0"/>
    <x v="0"/>
    <x v="295"/>
    <x v="4"/>
    <x v="1"/>
  </r>
  <r>
    <x v="297"/>
    <x v="19"/>
    <x v="1"/>
    <x v="1"/>
    <x v="2"/>
    <x v="291"/>
    <x v="0"/>
    <x v="0"/>
    <x v="296"/>
    <x v="10"/>
    <x v="1"/>
  </r>
  <r>
    <x v="298"/>
    <x v="10"/>
    <x v="1"/>
    <x v="2"/>
    <x v="0"/>
    <x v="292"/>
    <x v="0"/>
    <x v="0"/>
    <x v="297"/>
    <x v="5"/>
    <x v="0"/>
  </r>
  <r>
    <x v="299"/>
    <x v="18"/>
    <x v="1"/>
    <x v="0"/>
    <x v="0"/>
    <x v="293"/>
    <x v="0"/>
    <x v="2"/>
    <x v="298"/>
    <x v="3"/>
    <x v="1"/>
  </r>
  <r>
    <x v="300"/>
    <x v="19"/>
    <x v="1"/>
    <x v="0"/>
    <x v="0"/>
    <x v="294"/>
    <x v="1"/>
    <x v="3"/>
    <x v="299"/>
    <x v="1"/>
    <x v="1"/>
  </r>
  <r>
    <x v="301"/>
    <x v="35"/>
    <x v="1"/>
    <x v="2"/>
    <x v="0"/>
    <x v="295"/>
    <x v="2"/>
    <x v="1"/>
    <x v="300"/>
    <x v="3"/>
    <x v="1"/>
  </r>
  <r>
    <x v="302"/>
    <x v="3"/>
    <x v="1"/>
    <x v="0"/>
    <x v="0"/>
    <x v="206"/>
    <x v="2"/>
    <x v="2"/>
    <x v="301"/>
    <x v="1"/>
    <x v="1"/>
  </r>
  <r>
    <x v="303"/>
    <x v="0"/>
    <x v="0"/>
    <x v="1"/>
    <x v="0"/>
    <x v="296"/>
    <x v="0"/>
    <x v="0"/>
    <x v="302"/>
    <x v="0"/>
    <x v="0"/>
  </r>
  <r>
    <x v="304"/>
    <x v="24"/>
    <x v="0"/>
    <x v="2"/>
    <x v="0"/>
    <x v="38"/>
    <x v="0"/>
    <x v="3"/>
    <x v="29"/>
    <x v="21"/>
    <x v="1"/>
  </r>
  <r>
    <x v="305"/>
    <x v="10"/>
    <x v="1"/>
    <x v="0"/>
    <x v="0"/>
    <x v="237"/>
    <x v="0"/>
    <x v="0"/>
    <x v="303"/>
    <x v="6"/>
    <x v="0"/>
  </r>
  <r>
    <x v="306"/>
    <x v="24"/>
    <x v="1"/>
    <x v="2"/>
    <x v="0"/>
    <x v="297"/>
    <x v="0"/>
    <x v="0"/>
    <x v="304"/>
    <x v="16"/>
    <x v="1"/>
  </r>
  <r>
    <x v="307"/>
    <x v="2"/>
    <x v="1"/>
    <x v="0"/>
    <x v="2"/>
    <x v="298"/>
    <x v="0"/>
    <x v="2"/>
    <x v="305"/>
    <x v="1"/>
    <x v="1"/>
  </r>
  <r>
    <x v="308"/>
    <x v="45"/>
    <x v="1"/>
    <x v="0"/>
    <x v="0"/>
    <x v="299"/>
    <x v="0"/>
    <x v="0"/>
    <x v="306"/>
    <x v="7"/>
    <x v="1"/>
  </r>
  <r>
    <x v="309"/>
    <x v="32"/>
    <x v="0"/>
    <x v="2"/>
    <x v="0"/>
    <x v="300"/>
    <x v="0"/>
    <x v="2"/>
    <x v="307"/>
    <x v="2"/>
    <x v="1"/>
  </r>
  <r>
    <x v="310"/>
    <x v="41"/>
    <x v="1"/>
    <x v="0"/>
    <x v="2"/>
    <x v="301"/>
    <x v="0"/>
    <x v="0"/>
    <x v="308"/>
    <x v="11"/>
    <x v="0"/>
  </r>
  <r>
    <x v="311"/>
    <x v="2"/>
    <x v="1"/>
    <x v="1"/>
    <x v="1"/>
    <x v="302"/>
    <x v="0"/>
    <x v="0"/>
    <x v="309"/>
    <x v="1"/>
    <x v="0"/>
  </r>
  <r>
    <x v="312"/>
    <x v="14"/>
    <x v="1"/>
    <x v="0"/>
    <x v="1"/>
    <x v="303"/>
    <x v="2"/>
    <x v="2"/>
    <x v="310"/>
    <x v="21"/>
    <x v="1"/>
  </r>
  <r>
    <x v="313"/>
    <x v="44"/>
    <x v="0"/>
    <x v="0"/>
    <x v="1"/>
    <x v="304"/>
    <x v="0"/>
    <x v="0"/>
    <x v="185"/>
    <x v="1"/>
    <x v="0"/>
  </r>
  <r>
    <x v="314"/>
    <x v="27"/>
    <x v="1"/>
    <x v="1"/>
    <x v="0"/>
    <x v="305"/>
    <x v="1"/>
    <x v="2"/>
    <x v="311"/>
    <x v="24"/>
    <x v="1"/>
  </r>
  <r>
    <x v="315"/>
    <x v="16"/>
    <x v="1"/>
    <x v="0"/>
    <x v="0"/>
    <x v="306"/>
    <x v="2"/>
    <x v="0"/>
    <x v="312"/>
    <x v="7"/>
    <x v="0"/>
  </r>
  <r>
    <x v="316"/>
    <x v="14"/>
    <x v="0"/>
    <x v="0"/>
    <x v="0"/>
    <x v="307"/>
    <x v="0"/>
    <x v="1"/>
    <x v="313"/>
    <x v="4"/>
    <x v="1"/>
  </r>
  <r>
    <x v="317"/>
    <x v="35"/>
    <x v="1"/>
    <x v="2"/>
    <x v="0"/>
    <x v="308"/>
    <x v="0"/>
    <x v="3"/>
    <x v="314"/>
    <x v="6"/>
    <x v="1"/>
  </r>
  <r>
    <x v="318"/>
    <x v="36"/>
    <x v="0"/>
    <x v="1"/>
    <x v="0"/>
    <x v="309"/>
    <x v="0"/>
    <x v="3"/>
    <x v="315"/>
    <x v="11"/>
    <x v="0"/>
  </r>
  <r>
    <x v="319"/>
    <x v="0"/>
    <x v="0"/>
    <x v="1"/>
    <x v="0"/>
    <x v="310"/>
    <x v="0"/>
    <x v="2"/>
    <x v="316"/>
    <x v="0"/>
    <x v="0"/>
  </r>
  <r>
    <x v="320"/>
    <x v="3"/>
    <x v="1"/>
    <x v="0"/>
    <x v="0"/>
    <x v="311"/>
    <x v="0"/>
    <x v="1"/>
    <x v="317"/>
    <x v="1"/>
    <x v="1"/>
  </r>
  <r>
    <x v="321"/>
    <x v="44"/>
    <x v="0"/>
    <x v="0"/>
    <x v="1"/>
    <x v="312"/>
    <x v="0"/>
    <x v="0"/>
    <x v="318"/>
    <x v="3"/>
    <x v="0"/>
  </r>
  <r>
    <x v="322"/>
    <x v="8"/>
    <x v="0"/>
    <x v="1"/>
    <x v="0"/>
    <x v="313"/>
    <x v="0"/>
    <x v="2"/>
    <x v="319"/>
    <x v="1"/>
    <x v="0"/>
  </r>
  <r>
    <x v="323"/>
    <x v="49"/>
    <x v="1"/>
    <x v="2"/>
    <x v="1"/>
    <x v="314"/>
    <x v="0"/>
    <x v="0"/>
    <x v="320"/>
    <x v="9"/>
    <x v="1"/>
  </r>
  <r>
    <x v="324"/>
    <x v="35"/>
    <x v="0"/>
    <x v="0"/>
    <x v="0"/>
    <x v="315"/>
    <x v="0"/>
    <x v="0"/>
    <x v="321"/>
    <x v="4"/>
    <x v="1"/>
  </r>
  <r>
    <x v="325"/>
    <x v="40"/>
    <x v="0"/>
    <x v="1"/>
    <x v="2"/>
    <x v="316"/>
    <x v="0"/>
    <x v="0"/>
    <x v="322"/>
    <x v="11"/>
    <x v="0"/>
  </r>
  <r>
    <x v="326"/>
    <x v="41"/>
    <x v="1"/>
    <x v="1"/>
    <x v="0"/>
    <x v="317"/>
    <x v="2"/>
    <x v="1"/>
    <x v="323"/>
    <x v="6"/>
    <x v="1"/>
  </r>
  <r>
    <x v="327"/>
    <x v="11"/>
    <x v="1"/>
    <x v="0"/>
    <x v="0"/>
    <x v="318"/>
    <x v="0"/>
    <x v="0"/>
    <x v="324"/>
    <x v="3"/>
    <x v="0"/>
  </r>
  <r>
    <x v="328"/>
    <x v="32"/>
    <x v="1"/>
    <x v="2"/>
    <x v="0"/>
    <x v="40"/>
    <x v="0"/>
    <x v="0"/>
    <x v="325"/>
    <x v="6"/>
    <x v="0"/>
  </r>
  <r>
    <x v="329"/>
    <x v="2"/>
    <x v="1"/>
    <x v="0"/>
    <x v="0"/>
    <x v="48"/>
    <x v="1"/>
    <x v="0"/>
    <x v="326"/>
    <x v="14"/>
    <x v="0"/>
  </r>
  <r>
    <x v="330"/>
    <x v="7"/>
    <x v="1"/>
    <x v="2"/>
    <x v="0"/>
    <x v="319"/>
    <x v="1"/>
    <x v="2"/>
    <x v="327"/>
    <x v="1"/>
    <x v="1"/>
  </r>
  <r>
    <x v="331"/>
    <x v="23"/>
    <x v="1"/>
    <x v="1"/>
    <x v="1"/>
    <x v="320"/>
    <x v="0"/>
    <x v="1"/>
    <x v="328"/>
    <x v="2"/>
    <x v="1"/>
  </r>
  <r>
    <x v="332"/>
    <x v="11"/>
    <x v="1"/>
    <x v="1"/>
    <x v="1"/>
    <x v="321"/>
    <x v="0"/>
    <x v="0"/>
    <x v="329"/>
    <x v="6"/>
    <x v="1"/>
  </r>
  <r>
    <x v="333"/>
    <x v="40"/>
    <x v="1"/>
    <x v="1"/>
    <x v="0"/>
    <x v="322"/>
    <x v="0"/>
    <x v="2"/>
    <x v="330"/>
    <x v="6"/>
    <x v="0"/>
  </r>
  <r>
    <x v="334"/>
    <x v="9"/>
    <x v="0"/>
    <x v="0"/>
    <x v="0"/>
    <x v="323"/>
    <x v="1"/>
    <x v="2"/>
    <x v="30"/>
    <x v="28"/>
    <x v="1"/>
  </r>
  <r>
    <x v="335"/>
    <x v="6"/>
    <x v="1"/>
    <x v="0"/>
    <x v="0"/>
    <x v="324"/>
    <x v="0"/>
    <x v="0"/>
    <x v="331"/>
    <x v="0"/>
    <x v="0"/>
  </r>
  <r>
    <x v="336"/>
    <x v="27"/>
    <x v="1"/>
    <x v="0"/>
    <x v="2"/>
    <x v="325"/>
    <x v="2"/>
    <x v="2"/>
    <x v="332"/>
    <x v="2"/>
    <x v="1"/>
  </r>
  <r>
    <x v="337"/>
    <x v="8"/>
    <x v="0"/>
    <x v="1"/>
    <x v="0"/>
    <x v="326"/>
    <x v="2"/>
    <x v="2"/>
    <x v="333"/>
    <x v="6"/>
    <x v="0"/>
  </r>
  <r>
    <x v="338"/>
    <x v="42"/>
    <x v="0"/>
    <x v="0"/>
    <x v="0"/>
    <x v="327"/>
    <x v="0"/>
    <x v="3"/>
    <x v="334"/>
    <x v="3"/>
    <x v="1"/>
  </r>
  <r>
    <x v="339"/>
    <x v="9"/>
    <x v="0"/>
    <x v="0"/>
    <x v="0"/>
    <x v="328"/>
    <x v="0"/>
    <x v="2"/>
    <x v="335"/>
    <x v="9"/>
    <x v="1"/>
  </r>
  <r>
    <x v="340"/>
    <x v="12"/>
    <x v="1"/>
    <x v="2"/>
    <x v="0"/>
    <x v="329"/>
    <x v="1"/>
    <x v="2"/>
    <x v="114"/>
    <x v="10"/>
    <x v="1"/>
  </r>
  <r>
    <x v="341"/>
    <x v="44"/>
    <x v="0"/>
    <x v="1"/>
    <x v="1"/>
    <x v="330"/>
    <x v="0"/>
    <x v="0"/>
    <x v="336"/>
    <x v="1"/>
    <x v="0"/>
  </r>
  <r>
    <x v="342"/>
    <x v="16"/>
    <x v="1"/>
    <x v="0"/>
    <x v="2"/>
    <x v="331"/>
    <x v="0"/>
    <x v="0"/>
    <x v="337"/>
    <x v="25"/>
    <x v="1"/>
  </r>
  <r>
    <x v="343"/>
    <x v="44"/>
    <x v="0"/>
    <x v="1"/>
    <x v="1"/>
    <x v="332"/>
    <x v="0"/>
    <x v="2"/>
    <x v="338"/>
    <x v="0"/>
    <x v="0"/>
  </r>
  <r>
    <x v="344"/>
    <x v="6"/>
    <x v="1"/>
    <x v="0"/>
    <x v="0"/>
    <x v="333"/>
    <x v="2"/>
    <x v="1"/>
    <x v="339"/>
    <x v="5"/>
    <x v="1"/>
  </r>
  <r>
    <x v="345"/>
    <x v="7"/>
    <x v="0"/>
    <x v="0"/>
    <x v="0"/>
    <x v="334"/>
    <x v="2"/>
    <x v="1"/>
    <x v="340"/>
    <x v="3"/>
    <x v="0"/>
  </r>
  <r>
    <x v="346"/>
    <x v="41"/>
    <x v="1"/>
    <x v="0"/>
    <x v="0"/>
    <x v="335"/>
    <x v="0"/>
    <x v="0"/>
    <x v="341"/>
    <x v="6"/>
    <x v="0"/>
  </r>
  <r>
    <x v="347"/>
    <x v="51"/>
    <x v="1"/>
    <x v="0"/>
    <x v="2"/>
    <x v="336"/>
    <x v="2"/>
    <x v="1"/>
    <x v="342"/>
    <x v="3"/>
    <x v="1"/>
  </r>
  <r>
    <x v="348"/>
    <x v="10"/>
    <x v="0"/>
    <x v="0"/>
    <x v="0"/>
    <x v="337"/>
    <x v="0"/>
    <x v="2"/>
    <x v="343"/>
    <x v="7"/>
    <x v="1"/>
  </r>
  <r>
    <x v="349"/>
    <x v="44"/>
    <x v="0"/>
    <x v="2"/>
    <x v="1"/>
    <x v="338"/>
    <x v="3"/>
    <x v="3"/>
    <x v="344"/>
    <x v="6"/>
    <x v="1"/>
  </r>
  <r>
    <x v="350"/>
    <x v="14"/>
    <x v="1"/>
    <x v="0"/>
    <x v="0"/>
    <x v="339"/>
    <x v="0"/>
    <x v="0"/>
    <x v="345"/>
    <x v="6"/>
    <x v="0"/>
  </r>
  <r>
    <x v="351"/>
    <x v="2"/>
    <x v="1"/>
    <x v="0"/>
    <x v="0"/>
    <x v="340"/>
    <x v="0"/>
    <x v="3"/>
    <x v="346"/>
    <x v="0"/>
    <x v="1"/>
  </r>
  <r>
    <x v="352"/>
    <x v="6"/>
    <x v="0"/>
    <x v="2"/>
    <x v="1"/>
    <x v="341"/>
    <x v="2"/>
    <x v="2"/>
    <x v="347"/>
    <x v="10"/>
    <x v="1"/>
  </r>
  <r>
    <x v="353"/>
    <x v="1"/>
    <x v="1"/>
    <x v="0"/>
    <x v="1"/>
    <x v="342"/>
    <x v="2"/>
    <x v="2"/>
    <x v="348"/>
    <x v="21"/>
    <x v="1"/>
  </r>
  <r>
    <x v="354"/>
    <x v="18"/>
    <x v="0"/>
    <x v="2"/>
    <x v="1"/>
    <x v="343"/>
    <x v="2"/>
    <x v="2"/>
    <x v="349"/>
    <x v="2"/>
    <x v="1"/>
  </r>
  <r>
    <x v="355"/>
    <x v="41"/>
    <x v="1"/>
    <x v="0"/>
    <x v="2"/>
    <x v="344"/>
    <x v="2"/>
    <x v="2"/>
    <x v="350"/>
    <x v="6"/>
    <x v="1"/>
  </r>
  <r>
    <x v="356"/>
    <x v="46"/>
    <x v="0"/>
    <x v="2"/>
    <x v="0"/>
    <x v="345"/>
    <x v="3"/>
    <x v="1"/>
    <x v="351"/>
    <x v="1"/>
    <x v="1"/>
  </r>
  <r>
    <x v="357"/>
    <x v="27"/>
    <x v="0"/>
    <x v="0"/>
    <x v="0"/>
    <x v="346"/>
    <x v="0"/>
    <x v="3"/>
    <x v="352"/>
    <x v="26"/>
    <x v="1"/>
  </r>
  <r>
    <x v="358"/>
    <x v="18"/>
    <x v="0"/>
    <x v="1"/>
    <x v="0"/>
    <x v="347"/>
    <x v="1"/>
    <x v="0"/>
    <x v="353"/>
    <x v="3"/>
    <x v="0"/>
  </r>
  <r>
    <x v="359"/>
    <x v="19"/>
    <x v="1"/>
    <x v="2"/>
    <x v="0"/>
    <x v="348"/>
    <x v="2"/>
    <x v="0"/>
    <x v="354"/>
    <x v="3"/>
    <x v="0"/>
  </r>
  <r>
    <x v="360"/>
    <x v="6"/>
    <x v="0"/>
    <x v="0"/>
    <x v="0"/>
    <x v="349"/>
    <x v="2"/>
    <x v="0"/>
    <x v="355"/>
    <x v="6"/>
    <x v="0"/>
  </r>
  <r>
    <x v="361"/>
    <x v="13"/>
    <x v="1"/>
    <x v="0"/>
    <x v="2"/>
    <x v="350"/>
    <x v="2"/>
    <x v="2"/>
    <x v="356"/>
    <x v="26"/>
    <x v="1"/>
  </r>
  <r>
    <x v="362"/>
    <x v="32"/>
    <x v="1"/>
    <x v="1"/>
    <x v="0"/>
    <x v="351"/>
    <x v="2"/>
    <x v="2"/>
    <x v="357"/>
    <x v="7"/>
    <x v="1"/>
  </r>
  <r>
    <x v="363"/>
    <x v="6"/>
    <x v="1"/>
    <x v="2"/>
    <x v="0"/>
    <x v="352"/>
    <x v="0"/>
    <x v="0"/>
    <x v="358"/>
    <x v="1"/>
    <x v="1"/>
  </r>
  <r>
    <x v="364"/>
    <x v="45"/>
    <x v="0"/>
    <x v="0"/>
    <x v="0"/>
    <x v="353"/>
    <x v="2"/>
    <x v="2"/>
    <x v="359"/>
    <x v="28"/>
    <x v="1"/>
  </r>
  <r>
    <x v="365"/>
    <x v="12"/>
    <x v="1"/>
    <x v="0"/>
    <x v="0"/>
    <x v="354"/>
    <x v="0"/>
    <x v="2"/>
    <x v="360"/>
    <x v="6"/>
    <x v="1"/>
  </r>
  <r>
    <x v="366"/>
    <x v="7"/>
    <x v="1"/>
    <x v="0"/>
    <x v="1"/>
    <x v="355"/>
    <x v="2"/>
    <x v="0"/>
    <x v="361"/>
    <x v="2"/>
    <x v="0"/>
  </r>
  <r>
    <x v="367"/>
    <x v="6"/>
    <x v="1"/>
    <x v="0"/>
    <x v="0"/>
    <x v="356"/>
    <x v="1"/>
    <x v="3"/>
    <x v="362"/>
    <x v="5"/>
    <x v="0"/>
  </r>
  <r>
    <x v="368"/>
    <x v="20"/>
    <x v="0"/>
    <x v="1"/>
    <x v="1"/>
    <x v="357"/>
    <x v="0"/>
    <x v="2"/>
    <x v="363"/>
    <x v="2"/>
    <x v="1"/>
  </r>
  <r>
    <x v="369"/>
    <x v="6"/>
    <x v="0"/>
    <x v="1"/>
    <x v="1"/>
    <x v="358"/>
    <x v="0"/>
    <x v="0"/>
    <x v="364"/>
    <x v="1"/>
    <x v="0"/>
  </r>
  <r>
    <x v="370"/>
    <x v="10"/>
    <x v="0"/>
    <x v="0"/>
    <x v="1"/>
    <x v="359"/>
    <x v="0"/>
    <x v="0"/>
    <x v="365"/>
    <x v="2"/>
    <x v="1"/>
  </r>
  <r>
    <x v="371"/>
    <x v="38"/>
    <x v="1"/>
    <x v="2"/>
    <x v="0"/>
    <x v="360"/>
    <x v="2"/>
    <x v="1"/>
    <x v="366"/>
    <x v="10"/>
    <x v="1"/>
  </r>
  <r>
    <x v="372"/>
    <x v="1"/>
    <x v="0"/>
    <x v="1"/>
    <x v="0"/>
    <x v="361"/>
    <x v="1"/>
    <x v="1"/>
    <x v="367"/>
    <x v="5"/>
    <x v="0"/>
  </r>
  <r>
    <x v="373"/>
    <x v="14"/>
    <x v="1"/>
    <x v="0"/>
    <x v="0"/>
    <x v="362"/>
    <x v="0"/>
    <x v="3"/>
    <x v="368"/>
    <x v="6"/>
    <x v="1"/>
  </r>
  <r>
    <x v="374"/>
    <x v="7"/>
    <x v="1"/>
    <x v="0"/>
    <x v="0"/>
    <x v="363"/>
    <x v="0"/>
    <x v="2"/>
    <x v="369"/>
    <x v="3"/>
    <x v="1"/>
  </r>
  <r>
    <x v="375"/>
    <x v="14"/>
    <x v="0"/>
    <x v="0"/>
    <x v="0"/>
    <x v="364"/>
    <x v="0"/>
    <x v="0"/>
    <x v="370"/>
    <x v="3"/>
    <x v="0"/>
  </r>
  <r>
    <x v="376"/>
    <x v="17"/>
    <x v="1"/>
    <x v="2"/>
    <x v="0"/>
    <x v="365"/>
    <x v="0"/>
    <x v="2"/>
    <x v="371"/>
    <x v="1"/>
    <x v="1"/>
  </r>
  <r>
    <x v="377"/>
    <x v="13"/>
    <x v="0"/>
    <x v="0"/>
    <x v="0"/>
    <x v="366"/>
    <x v="1"/>
    <x v="0"/>
    <x v="372"/>
    <x v="1"/>
    <x v="0"/>
  </r>
  <r>
    <x v="378"/>
    <x v="23"/>
    <x v="1"/>
    <x v="0"/>
    <x v="0"/>
    <x v="367"/>
    <x v="3"/>
    <x v="2"/>
    <x v="373"/>
    <x v="29"/>
    <x v="1"/>
  </r>
  <r>
    <x v="379"/>
    <x v="52"/>
    <x v="1"/>
    <x v="1"/>
    <x v="0"/>
    <x v="368"/>
    <x v="2"/>
    <x v="0"/>
    <x v="374"/>
    <x v="1"/>
    <x v="0"/>
  </r>
  <r>
    <x v="380"/>
    <x v="20"/>
    <x v="1"/>
    <x v="0"/>
    <x v="2"/>
    <x v="369"/>
    <x v="0"/>
    <x v="0"/>
    <x v="375"/>
    <x v="3"/>
    <x v="0"/>
  </r>
  <r>
    <x v="381"/>
    <x v="17"/>
    <x v="1"/>
    <x v="1"/>
    <x v="2"/>
    <x v="370"/>
    <x v="0"/>
    <x v="0"/>
    <x v="376"/>
    <x v="6"/>
    <x v="0"/>
  </r>
  <r>
    <x v="382"/>
    <x v="6"/>
    <x v="0"/>
    <x v="0"/>
    <x v="2"/>
    <x v="371"/>
    <x v="0"/>
    <x v="3"/>
    <x v="377"/>
    <x v="1"/>
    <x v="1"/>
  </r>
  <r>
    <x v="383"/>
    <x v="29"/>
    <x v="1"/>
    <x v="2"/>
    <x v="0"/>
    <x v="372"/>
    <x v="0"/>
    <x v="2"/>
    <x v="378"/>
    <x v="9"/>
    <x v="1"/>
  </r>
  <r>
    <x v="384"/>
    <x v="17"/>
    <x v="0"/>
    <x v="2"/>
    <x v="0"/>
    <x v="373"/>
    <x v="0"/>
    <x v="3"/>
    <x v="379"/>
    <x v="18"/>
    <x v="1"/>
  </r>
  <r>
    <x v="385"/>
    <x v="1"/>
    <x v="1"/>
    <x v="1"/>
    <x v="0"/>
    <x v="374"/>
    <x v="2"/>
    <x v="0"/>
    <x v="380"/>
    <x v="3"/>
    <x v="1"/>
  </r>
  <r>
    <x v="386"/>
    <x v="52"/>
    <x v="1"/>
    <x v="0"/>
    <x v="0"/>
    <x v="375"/>
    <x v="1"/>
    <x v="0"/>
    <x v="381"/>
    <x v="6"/>
    <x v="0"/>
  </r>
  <r>
    <x v="387"/>
    <x v="36"/>
    <x v="0"/>
    <x v="0"/>
    <x v="0"/>
    <x v="376"/>
    <x v="0"/>
    <x v="3"/>
    <x v="382"/>
    <x v="5"/>
    <x v="0"/>
  </r>
  <r>
    <x v="388"/>
    <x v="38"/>
    <x v="1"/>
    <x v="0"/>
    <x v="0"/>
    <x v="377"/>
    <x v="2"/>
    <x v="2"/>
    <x v="383"/>
    <x v="6"/>
    <x v="1"/>
  </r>
  <r>
    <x v="389"/>
    <x v="49"/>
    <x v="1"/>
    <x v="1"/>
    <x v="0"/>
    <x v="378"/>
    <x v="2"/>
    <x v="2"/>
    <x v="384"/>
    <x v="1"/>
    <x v="1"/>
  </r>
  <r>
    <x v="390"/>
    <x v="7"/>
    <x v="0"/>
    <x v="0"/>
    <x v="0"/>
    <x v="379"/>
    <x v="0"/>
    <x v="3"/>
    <x v="385"/>
    <x v="3"/>
    <x v="1"/>
  </r>
  <r>
    <x v="391"/>
    <x v="12"/>
    <x v="1"/>
    <x v="2"/>
    <x v="0"/>
    <x v="380"/>
    <x v="0"/>
    <x v="3"/>
    <x v="386"/>
    <x v="6"/>
    <x v="1"/>
  </r>
  <r>
    <x v="392"/>
    <x v="24"/>
    <x v="1"/>
    <x v="0"/>
    <x v="0"/>
    <x v="122"/>
    <x v="0"/>
    <x v="1"/>
    <x v="387"/>
    <x v="4"/>
    <x v="1"/>
  </r>
  <r>
    <x v="393"/>
    <x v="10"/>
    <x v="1"/>
    <x v="0"/>
    <x v="0"/>
    <x v="381"/>
    <x v="1"/>
    <x v="2"/>
    <x v="388"/>
    <x v="0"/>
    <x v="0"/>
  </r>
  <r>
    <x v="394"/>
    <x v="0"/>
    <x v="1"/>
    <x v="0"/>
    <x v="1"/>
    <x v="382"/>
    <x v="0"/>
    <x v="2"/>
    <x v="389"/>
    <x v="4"/>
    <x v="1"/>
  </r>
  <r>
    <x v="395"/>
    <x v="13"/>
    <x v="0"/>
    <x v="1"/>
    <x v="2"/>
    <x v="383"/>
    <x v="0"/>
    <x v="2"/>
    <x v="390"/>
    <x v="1"/>
    <x v="0"/>
  </r>
  <r>
    <x v="396"/>
    <x v="43"/>
    <x v="0"/>
    <x v="1"/>
    <x v="2"/>
    <x v="384"/>
    <x v="0"/>
    <x v="0"/>
    <x v="391"/>
    <x v="6"/>
    <x v="1"/>
  </r>
  <r>
    <x v="397"/>
    <x v="3"/>
    <x v="1"/>
    <x v="0"/>
    <x v="0"/>
    <x v="385"/>
    <x v="2"/>
    <x v="0"/>
    <x v="392"/>
    <x v="0"/>
    <x v="0"/>
  </r>
  <r>
    <x v="398"/>
    <x v="16"/>
    <x v="1"/>
    <x v="1"/>
    <x v="0"/>
    <x v="386"/>
    <x v="2"/>
    <x v="2"/>
    <x v="393"/>
    <x v="1"/>
    <x v="0"/>
  </r>
  <r>
    <x v="399"/>
    <x v="26"/>
    <x v="1"/>
    <x v="0"/>
    <x v="1"/>
    <x v="387"/>
    <x v="0"/>
    <x v="0"/>
    <x v="394"/>
    <x v="30"/>
    <x v="0"/>
  </r>
  <r>
    <x v="400"/>
    <x v="12"/>
    <x v="0"/>
    <x v="0"/>
    <x v="0"/>
    <x v="388"/>
    <x v="2"/>
    <x v="1"/>
    <x v="395"/>
    <x v="10"/>
    <x v="1"/>
  </r>
  <r>
    <x v="401"/>
    <x v="28"/>
    <x v="1"/>
    <x v="0"/>
    <x v="0"/>
    <x v="389"/>
    <x v="0"/>
    <x v="0"/>
    <x v="396"/>
    <x v="1"/>
    <x v="1"/>
  </r>
  <r>
    <x v="402"/>
    <x v="11"/>
    <x v="0"/>
    <x v="2"/>
    <x v="1"/>
    <x v="390"/>
    <x v="1"/>
    <x v="2"/>
    <x v="397"/>
    <x v="11"/>
    <x v="0"/>
  </r>
  <r>
    <x v="403"/>
    <x v="18"/>
    <x v="1"/>
    <x v="0"/>
    <x v="0"/>
    <x v="391"/>
    <x v="0"/>
    <x v="2"/>
    <x v="398"/>
    <x v="1"/>
    <x v="1"/>
  </r>
  <r>
    <x v="404"/>
    <x v="16"/>
    <x v="1"/>
    <x v="0"/>
    <x v="0"/>
    <x v="392"/>
    <x v="3"/>
    <x v="3"/>
    <x v="399"/>
    <x v="6"/>
    <x v="1"/>
  </r>
  <r>
    <x v="405"/>
    <x v="37"/>
    <x v="1"/>
    <x v="0"/>
    <x v="0"/>
    <x v="393"/>
    <x v="3"/>
    <x v="2"/>
    <x v="400"/>
    <x v="6"/>
    <x v="1"/>
  </r>
  <r>
    <x v="406"/>
    <x v="18"/>
    <x v="1"/>
    <x v="1"/>
    <x v="0"/>
    <x v="394"/>
    <x v="1"/>
    <x v="2"/>
    <x v="401"/>
    <x v="2"/>
    <x v="0"/>
  </r>
  <r>
    <x v="407"/>
    <x v="46"/>
    <x v="0"/>
    <x v="2"/>
    <x v="0"/>
    <x v="395"/>
    <x v="0"/>
    <x v="0"/>
    <x v="402"/>
    <x v="6"/>
    <x v="1"/>
  </r>
  <r>
    <x v="408"/>
    <x v="19"/>
    <x v="1"/>
    <x v="0"/>
    <x v="0"/>
    <x v="396"/>
    <x v="2"/>
    <x v="2"/>
    <x v="403"/>
    <x v="11"/>
    <x v="1"/>
  </r>
  <r>
    <x v="409"/>
    <x v="2"/>
    <x v="1"/>
    <x v="0"/>
    <x v="0"/>
    <x v="397"/>
    <x v="0"/>
    <x v="3"/>
    <x v="404"/>
    <x v="6"/>
    <x v="1"/>
  </r>
  <r>
    <x v="410"/>
    <x v="27"/>
    <x v="1"/>
    <x v="2"/>
    <x v="0"/>
    <x v="89"/>
    <x v="3"/>
    <x v="2"/>
    <x v="405"/>
    <x v="4"/>
    <x v="1"/>
  </r>
  <r>
    <x v="411"/>
    <x v="44"/>
    <x v="0"/>
    <x v="0"/>
    <x v="0"/>
    <x v="398"/>
    <x v="0"/>
    <x v="0"/>
    <x v="406"/>
    <x v="4"/>
    <x v="0"/>
  </r>
  <r>
    <x v="412"/>
    <x v="1"/>
    <x v="1"/>
    <x v="0"/>
    <x v="0"/>
    <x v="399"/>
    <x v="1"/>
    <x v="0"/>
    <x v="407"/>
    <x v="3"/>
    <x v="0"/>
  </r>
  <r>
    <x v="413"/>
    <x v="10"/>
    <x v="0"/>
    <x v="0"/>
    <x v="0"/>
    <x v="400"/>
    <x v="0"/>
    <x v="0"/>
    <x v="408"/>
    <x v="6"/>
    <x v="1"/>
  </r>
  <r>
    <x v="414"/>
    <x v="44"/>
    <x v="0"/>
    <x v="1"/>
    <x v="1"/>
    <x v="401"/>
    <x v="0"/>
    <x v="3"/>
    <x v="409"/>
    <x v="1"/>
    <x v="0"/>
  </r>
  <r>
    <x v="415"/>
    <x v="3"/>
    <x v="0"/>
    <x v="0"/>
    <x v="0"/>
    <x v="402"/>
    <x v="0"/>
    <x v="3"/>
    <x v="410"/>
    <x v="5"/>
    <x v="1"/>
  </r>
  <r>
    <x v="416"/>
    <x v="24"/>
    <x v="1"/>
    <x v="1"/>
    <x v="0"/>
    <x v="403"/>
    <x v="2"/>
    <x v="2"/>
    <x v="411"/>
    <x v="1"/>
    <x v="1"/>
  </r>
  <r>
    <x v="417"/>
    <x v="6"/>
    <x v="0"/>
    <x v="1"/>
    <x v="1"/>
    <x v="404"/>
    <x v="2"/>
    <x v="1"/>
    <x v="412"/>
    <x v="6"/>
    <x v="1"/>
  </r>
  <r>
    <x v="418"/>
    <x v="6"/>
    <x v="1"/>
    <x v="2"/>
    <x v="1"/>
    <x v="405"/>
    <x v="0"/>
    <x v="0"/>
    <x v="413"/>
    <x v="1"/>
    <x v="1"/>
  </r>
  <r>
    <x v="419"/>
    <x v="3"/>
    <x v="0"/>
    <x v="0"/>
    <x v="0"/>
    <x v="406"/>
    <x v="0"/>
    <x v="2"/>
    <x v="414"/>
    <x v="3"/>
    <x v="1"/>
  </r>
  <r>
    <x v="420"/>
    <x v="7"/>
    <x v="1"/>
    <x v="0"/>
    <x v="0"/>
    <x v="113"/>
    <x v="2"/>
    <x v="2"/>
    <x v="415"/>
    <x v="4"/>
    <x v="1"/>
  </r>
  <r>
    <x v="421"/>
    <x v="31"/>
    <x v="1"/>
    <x v="0"/>
    <x v="0"/>
    <x v="407"/>
    <x v="0"/>
    <x v="0"/>
    <x v="416"/>
    <x v="6"/>
    <x v="0"/>
  </r>
  <r>
    <x v="422"/>
    <x v="14"/>
    <x v="1"/>
    <x v="0"/>
    <x v="2"/>
    <x v="408"/>
    <x v="0"/>
    <x v="0"/>
    <x v="417"/>
    <x v="6"/>
    <x v="0"/>
  </r>
  <r>
    <x v="423"/>
    <x v="31"/>
    <x v="1"/>
    <x v="1"/>
    <x v="0"/>
    <x v="409"/>
    <x v="0"/>
    <x v="2"/>
    <x v="418"/>
    <x v="6"/>
    <x v="1"/>
  </r>
  <r>
    <x v="424"/>
    <x v="11"/>
    <x v="1"/>
    <x v="0"/>
    <x v="0"/>
    <x v="410"/>
    <x v="0"/>
    <x v="2"/>
    <x v="419"/>
    <x v="5"/>
    <x v="1"/>
  </r>
  <r>
    <x v="425"/>
    <x v="41"/>
    <x v="0"/>
    <x v="0"/>
    <x v="0"/>
    <x v="25"/>
    <x v="0"/>
    <x v="2"/>
    <x v="420"/>
    <x v="1"/>
    <x v="1"/>
  </r>
  <r>
    <x v="426"/>
    <x v="33"/>
    <x v="1"/>
    <x v="1"/>
    <x v="0"/>
    <x v="411"/>
    <x v="0"/>
    <x v="2"/>
    <x v="204"/>
    <x v="1"/>
    <x v="1"/>
  </r>
  <r>
    <x v="427"/>
    <x v="13"/>
    <x v="1"/>
    <x v="1"/>
    <x v="1"/>
    <x v="412"/>
    <x v="0"/>
    <x v="0"/>
    <x v="421"/>
    <x v="4"/>
    <x v="0"/>
  </r>
  <r>
    <x v="428"/>
    <x v="35"/>
    <x v="1"/>
    <x v="2"/>
    <x v="0"/>
    <x v="103"/>
    <x v="0"/>
    <x v="3"/>
    <x v="422"/>
    <x v="1"/>
    <x v="1"/>
  </r>
  <r>
    <x v="429"/>
    <x v="18"/>
    <x v="0"/>
    <x v="1"/>
    <x v="0"/>
    <x v="413"/>
    <x v="0"/>
    <x v="1"/>
    <x v="154"/>
    <x v="6"/>
    <x v="1"/>
  </r>
  <r>
    <x v="430"/>
    <x v="1"/>
    <x v="1"/>
    <x v="0"/>
    <x v="1"/>
    <x v="414"/>
    <x v="0"/>
    <x v="2"/>
    <x v="423"/>
    <x v="4"/>
    <x v="1"/>
  </r>
  <r>
    <x v="431"/>
    <x v="18"/>
    <x v="0"/>
    <x v="0"/>
    <x v="0"/>
    <x v="415"/>
    <x v="3"/>
    <x v="3"/>
    <x v="424"/>
    <x v="11"/>
    <x v="1"/>
  </r>
  <r>
    <x v="432"/>
    <x v="13"/>
    <x v="0"/>
    <x v="2"/>
    <x v="0"/>
    <x v="416"/>
    <x v="3"/>
    <x v="2"/>
    <x v="425"/>
    <x v="7"/>
    <x v="1"/>
  </r>
  <r>
    <x v="433"/>
    <x v="2"/>
    <x v="0"/>
    <x v="0"/>
    <x v="0"/>
    <x v="417"/>
    <x v="0"/>
    <x v="3"/>
    <x v="426"/>
    <x v="7"/>
    <x v="0"/>
  </r>
  <r>
    <x v="434"/>
    <x v="11"/>
    <x v="1"/>
    <x v="1"/>
    <x v="2"/>
    <x v="132"/>
    <x v="0"/>
    <x v="0"/>
    <x v="427"/>
    <x v="11"/>
    <x v="0"/>
  </r>
  <r>
    <x v="435"/>
    <x v="21"/>
    <x v="1"/>
    <x v="0"/>
    <x v="0"/>
    <x v="418"/>
    <x v="0"/>
    <x v="2"/>
    <x v="320"/>
    <x v="7"/>
    <x v="1"/>
  </r>
  <r>
    <x v="436"/>
    <x v="16"/>
    <x v="1"/>
    <x v="2"/>
    <x v="1"/>
    <x v="419"/>
    <x v="0"/>
    <x v="3"/>
    <x v="428"/>
    <x v="5"/>
    <x v="1"/>
  </r>
  <r>
    <x v="437"/>
    <x v="23"/>
    <x v="1"/>
    <x v="2"/>
    <x v="0"/>
    <x v="420"/>
    <x v="0"/>
    <x v="0"/>
    <x v="429"/>
    <x v="6"/>
    <x v="1"/>
  </r>
  <r>
    <x v="438"/>
    <x v="10"/>
    <x v="1"/>
    <x v="0"/>
    <x v="1"/>
    <x v="421"/>
    <x v="0"/>
    <x v="1"/>
    <x v="430"/>
    <x v="6"/>
    <x v="1"/>
  </r>
  <r>
    <x v="439"/>
    <x v="13"/>
    <x v="1"/>
    <x v="1"/>
    <x v="0"/>
    <x v="422"/>
    <x v="2"/>
    <x v="2"/>
    <x v="431"/>
    <x v="4"/>
    <x v="1"/>
  </r>
  <r>
    <x v="440"/>
    <x v="29"/>
    <x v="0"/>
    <x v="1"/>
    <x v="0"/>
    <x v="423"/>
    <x v="3"/>
    <x v="2"/>
    <x v="432"/>
    <x v="7"/>
    <x v="1"/>
  </r>
  <r>
    <x v="441"/>
    <x v="2"/>
    <x v="1"/>
    <x v="1"/>
    <x v="2"/>
    <x v="424"/>
    <x v="0"/>
    <x v="2"/>
    <x v="433"/>
    <x v="3"/>
    <x v="1"/>
  </r>
  <r>
    <x v="442"/>
    <x v="5"/>
    <x v="1"/>
    <x v="0"/>
    <x v="0"/>
    <x v="425"/>
    <x v="0"/>
    <x v="2"/>
    <x v="434"/>
    <x v="6"/>
    <x v="1"/>
  </r>
  <r>
    <x v="443"/>
    <x v="23"/>
    <x v="1"/>
    <x v="1"/>
    <x v="0"/>
    <x v="426"/>
    <x v="0"/>
    <x v="3"/>
    <x v="272"/>
    <x v="3"/>
    <x v="1"/>
  </r>
  <r>
    <x v="444"/>
    <x v="44"/>
    <x v="0"/>
    <x v="2"/>
    <x v="1"/>
    <x v="427"/>
    <x v="0"/>
    <x v="0"/>
    <x v="435"/>
    <x v="1"/>
    <x v="0"/>
  </r>
  <r>
    <x v="445"/>
    <x v="29"/>
    <x v="1"/>
    <x v="1"/>
    <x v="0"/>
    <x v="60"/>
    <x v="0"/>
    <x v="2"/>
    <x v="436"/>
    <x v="5"/>
    <x v="1"/>
  </r>
  <r>
    <x v="446"/>
    <x v="16"/>
    <x v="1"/>
    <x v="0"/>
    <x v="0"/>
    <x v="428"/>
    <x v="1"/>
    <x v="3"/>
    <x v="437"/>
    <x v="2"/>
    <x v="1"/>
  </r>
  <r>
    <x v="447"/>
    <x v="31"/>
    <x v="1"/>
    <x v="0"/>
    <x v="0"/>
    <x v="429"/>
    <x v="3"/>
    <x v="2"/>
    <x v="438"/>
    <x v="0"/>
    <x v="1"/>
  </r>
  <r>
    <x v="448"/>
    <x v="53"/>
    <x v="0"/>
    <x v="0"/>
    <x v="0"/>
    <x v="241"/>
    <x v="0"/>
    <x v="2"/>
    <x v="439"/>
    <x v="4"/>
    <x v="1"/>
  </r>
  <r>
    <x v="449"/>
    <x v="6"/>
    <x v="0"/>
    <x v="2"/>
    <x v="1"/>
    <x v="430"/>
    <x v="3"/>
    <x v="2"/>
    <x v="440"/>
    <x v="6"/>
    <x v="0"/>
  </r>
  <r>
    <x v="450"/>
    <x v="6"/>
    <x v="1"/>
    <x v="0"/>
    <x v="1"/>
    <x v="431"/>
    <x v="0"/>
    <x v="0"/>
    <x v="441"/>
    <x v="15"/>
    <x v="0"/>
  </r>
  <r>
    <x v="451"/>
    <x v="16"/>
    <x v="1"/>
    <x v="0"/>
    <x v="0"/>
    <x v="432"/>
    <x v="3"/>
    <x v="0"/>
    <x v="442"/>
    <x v="1"/>
    <x v="1"/>
  </r>
  <r>
    <x v="452"/>
    <x v="16"/>
    <x v="1"/>
    <x v="0"/>
    <x v="0"/>
    <x v="433"/>
    <x v="0"/>
    <x v="3"/>
    <x v="10"/>
    <x v="10"/>
    <x v="1"/>
  </r>
  <r>
    <x v="453"/>
    <x v="44"/>
    <x v="1"/>
    <x v="0"/>
    <x v="1"/>
    <x v="434"/>
    <x v="0"/>
    <x v="3"/>
    <x v="443"/>
    <x v="6"/>
    <x v="0"/>
  </r>
  <r>
    <x v="454"/>
    <x v="26"/>
    <x v="1"/>
    <x v="2"/>
    <x v="0"/>
    <x v="435"/>
    <x v="0"/>
    <x v="2"/>
    <x v="444"/>
    <x v="1"/>
    <x v="1"/>
  </r>
  <r>
    <x v="455"/>
    <x v="14"/>
    <x v="1"/>
    <x v="0"/>
    <x v="0"/>
    <x v="436"/>
    <x v="1"/>
    <x v="0"/>
    <x v="445"/>
    <x v="14"/>
    <x v="0"/>
  </r>
  <r>
    <x v="456"/>
    <x v="8"/>
    <x v="1"/>
    <x v="0"/>
    <x v="2"/>
    <x v="437"/>
    <x v="0"/>
    <x v="2"/>
    <x v="446"/>
    <x v="2"/>
    <x v="1"/>
  </r>
  <r>
    <x v="457"/>
    <x v="5"/>
    <x v="1"/>
    <x v="0"/>
    <x v="0"/>
    <x v="438"/>
    <x v="3"/>
    <x v="2"/>
    <x v="447"/>
    <x v="2"/>
    <x v="1"/>
  </r>
  <r>
    <x v="458"/>
    <x v="13"/>
    <x v="1"/>
    <x v="0"/>
    <x v="0"/>
    <x v="439"/>
    <x v="0"/>
    <x v="0"/>
    <x v="448"/>
    <x v="3"/>
    <x v="0"/>
  </r>
  <r>
    <x v="459"/>
    <x v="0"/>
    <x v="0"/>
    <x v="0"/>
    <x v="0"/>
    <x v="440"/>
    <x v="2"/>
    <x v="2"/>
    <x v="449"/>
    <x v="6"/>
    <x v="0"/>
  </r>
  <r>
    <x v="460"/>
    <x v="11"/>
    <x v="1"/>
    <x v="0"/>
    <x v="0"/>
    <x v="297"/>
    <x v="0"/>
    <x v="0"/>
    <x v="450"/>
    <x v="0"/>
    <x v="0"/>
  </r>
  <r>
    <x v="461"/>
    <x v="41"/>
    <x v="1"/>
    <x v="0"/>
    <x v="0"/>
    <x v="441"/>
    <x v="0"/>
    <x v="0"/>
    <x v="451"/>
    <x v="1"/>
    <x v="0"/>
  </r>
  <r>
    <x v="462"/>
    <x v="40"/>
    <x v="1"/>
    <x v="1"/>
    <x v="0"/>
    <x v="442"/>
    <x v="0"/>
    <x v="0"/>
    <x v="452"/>
    <x v="1"/>
    <x v="0"/>
  </r>
  <r>
    <x v="463"/>
    <x v="8"/>
    <x v="0"/>
    <x v="1"/>
    <x v="0"/>
    <x v="443"/>
    <x v="1"/>
    <x v="1"/>
    <x v="453"/>
    <x v="7"/>
    <x v="1"/>
  </r>
  <r>
    <x v="464"/>
    <x v="21"/>
    <x v="1"/>
    <x v="0"/>
    <x v="0"/>
    <x v="444"/>
    <x v="2"/>
    <x v="1"/>
    <x v="454"/>
    <x v="2"/>
    <x v="1"/>
  </r>
  <r>
    <x v="465"/>
    <x v="39"/>
    <x v="0"/>
    <x v="1"/>
    <x v="0"/>
    <x v="445"/>
    <x v="1"/>
    <x v="2"/>
    <x v="455"/>
    <x v="11"/>
    <x v="0"/>
  </r>
  <r>
    <x v="466"/>
    <x v="6"/>
    <x v="0"/>
    <x v="0"/>
    <x v="0"/>
    <x v="446"/>
    <x v="2"/>
    <x v="2"/>
    <x v="456"/>
    <x v="2"/>
    <x v="1"/>
  </r>
  <r>
    <x v="467"/>
    <x v="48"/>
    <x v="0"/>
    <x v="0"/>
    <x v="1"/>
    <x v="447"/>
    <x v="1"/>
    <x v="3"/>
    <x v="457"/>
    <x v="10"/>
    <x v="0"/>
  </r>
  <r>
    <x v="468"/>
    <x v="14"/>
    <x v="0"/>
    <x v="0"/>
    <x v="2"/>
    <x v="448"/>
    <x v="0"/>
    <x v="0"/>
    <x v="458"/>
    <x v="4"/>
    <x v="0"/>
  </r>
  <r>
    <x v="469"/>
    <x v="10"/>
    <x v="1"/>
    <x v="0"/>
    <x v="0"/>
    <x v="449"/>
    <x v="0"/>
    <x v="1"/>
    <x v="459"/>
    <x v="0"/>
    <x v="1"/>
  </r>
  <r>
    <x v="470"/>
    <x v="11"/>
    <x v="0"/>
    <x v="2"/>
    <x v="1"/>
    <x v="179"/>
    <x v="0"/>
    <x v="0"/>
    <x v="460"/>
    <x v="1"/>
    <x v="0"/>
  </r>
  <r>
    <x v="471"/>
    <x v="19"/>
    <x v="1"/>
    <x v="2"/>
    <x v="0"/>
    <x v="450"/>
    <x v="0"/>
    <x v="2"/>
    <x v="461"/>
    <x v="6"/>
    <x v="1"/>
  </r>
  <r>
    <x v="472"/>
    <x v="12"/>
    <x v="0"/>
    <x v="1"/>
    <x v="0"/>
    <x v="451"/>
    <x v="0"/>
    <x v="3"/>
    <x v="462"/>
    <x v="11"/>
    <x v="0"/>
  </r>
  <r>
    <x v="473"/>
    <x v="32"/>
    <x v="1"/>
    <x v="0"/>
    <x v="0"/>
    <x v="452"/>
    <x v="0"/>
    <x v="0"/>
    <x v="463"/>
    <x v="0"/>
    <x v="1"/>
  </r>
  <r>
    <x v="474"/>
    <x v="41"/>
    <x v="1"/>
    <x v="0"/>
    <x v="0"/>
    <x v="453"/>
    <x v="0"/>
    <x v="1"/>
    <x v="464"/>
    <x v="9"/>
    <x v="1"/>
  </r>
  <r>
    <x v="475"/>
    <x v="25"/>
    <x v="0"/>
    <x v="1"/>
    <x v="1"/>
    <x v="454"/>
    <x v="3"/>
    <x v="0"/>
    <x v="465"/>
    <x v="1"/>
    <x v="1"/>
  </r>
  <r>
    <x v="476"/>
    <x v="6"/>
    <x v="0"/>
    <x v="1"/>
    <x v="0"/>
    <x v="455"/>
    <x v="1"/>
    <x v="1"/>
    <x v="466"/>
    <x v="15"/>
    <x v="0"/>
  </r>
  <r>
    <x v="477"/>
    <x v="17"/>
    <x v="0"/>
    <x v="0"/>
    <x v="0"/>
    <x v="456"/>
    <x v="0"/>
    <x v="0"/>
    <x v="467"/>
    <x v="14"/>
    <x v="0"/>
  </r>
  <r>
    <x v="478"/>
    <x v="8"/>
    <x v="1"/>
    <x v="0"/>
    <x v="0"/>
    <x v="457"/>
    <x v="2"/>
    <x v="1"/>
    <x v="468"/>
    <x v="3"/>
    <x v="1"/>
  </r>
  <r>
    <x v="479"/>
    <x v="48"/>
    <x v="1"/>
    <x v="0"/>
    <x v="1"/>
    <x v="458"/>
    <x v="1"/>
    <x v="3"/>
    <x v="469"/>
    <x v="15"/>
    <x v="0"/>
  </r>
  <r>
    <x v="480"/>
    <x v="43"/>
    <x v="1"/>
    <x v="1"/>
    <x v="2"/>
    <x v="459"/>
    <x v="0"/>
    <x v="3"/>
    <x v="470"/>
    <x v="21"/>
    <x v="1"/>
  </r>
  <r>
    <x v="481"/>
    <x v="41"/>
    <x v="1"/>
    <x v="1"/>
    <x v="0"/>
    <x v="460"/>
    <x v="2"/>
    <x v="1"/>
    <x v="471"/>
    <x v="1"/>
    <x v="1"/>
  </r>
  <r>
    <x v="482"/>
    <x v="25"/>
    <x v="1"/>
    <x v="0"/>
    <x v="0"/>
    <x v="461"/>
    <x v="3"/>
    <x v="2"/>
    <x v="472"/>
    <x v="1"/>
    <x v="1"/>
  </r>
  <r>
    <x v="483"/>
    <x v="26"/>
    <x v="1"/>
    <x v="1"/>
    <x v="0"/>
    <x v="462"/>
    <x v="0"/>
    <x v="2"/>
    <x v="473"/>
    <x v="3"/>
    <x v="1"/>
  </r>
  <r>
    <x v="484"/>
    <x v="1"/>
    <x v="0"/>
    <x v="0"/>
    <x v="0"/>
    <x v="463"/>
    <x v="3"/>
    <x v="2"/>
    <x v="474"/>
    <x v="2"/>
    <x v="1"/>
  </r>
  <r>
    <x v="485"/>
    <x v="10"/>
    <x v="0"/>
    <x v="0"/>
    <x v="0"/>
    <x v="464"/>
    <x v="0"/>
    <x v="0"/>
    <x v="475"/>
    <x v="0"/>
    <x v="0"/>
  </r>
  <r>
    <x v="486"/>
    <x v="54"/>
    <x v="1"/>
    <x v="2"/>
    <x v="0"/>
    <x v="353"/>
    <x v="0"/>
    <x v="0"/>
    <x v="476"/>
    <x v="9"/>
    <x v="1"/>
  </r>
  <r>
    <x v="487"/>
    <x v="29"/>
    <x v="0"/>
    <x v="1"/>
    <x v="2"/>
    <x v="465"/>
    <x v="0"/>
    <x v="3"/>
    <x v="477"/>
    <x v="3"/>
    <x v="0"/>
  </r>
  <r>
    <x v="488"/>
    <x v="16"/>
    <x v="0"/>
    <x v="0"/>
    <x v="1"/>
    <x v="466"/>
    <x v="0"/>
    <x v="0"/>
    <x v="478"/>
    <x v="3"/>
    <x v="1"/>
  </r>
  <r>
    <x v="489"/>
    <x v="17"/>
    <x v="1"/>
    <x v="0"/>
    <x v="0"/>
    <x v="110"/>
    <x v="3"/>
    <x v="2"/>
    <x v="479"/>
    <x v="6"/>
    <x v="1"/>
  </r>
  <r>
    <x v="490"/>
    <x v="16"/>
    <x v="0"/>
    <x v="1"/>
    <x v="0"/>
    <x v="467"/>
    <x v="0"/>
    <x v="0"/>
    <x v="480"/>
    <x v="3"/>
    <x v="0"/>
  </r>
  <r>
    <x v="491"/>
    <x v="49"/>
    <x v="0"/>
    <x v="0"/>
    <x v="1"/>
    <x v="468"/>
    <x v="0"/>
    <x v="3"/>
    <x v="481"/>
    <x v="11"/>
    <x v="0"/>
  </r>
  <r>
    <x v="492"/>
    <x v="10"/>
    <x v="1"/>
    <x v="2"/>
    <x v="1"/>
    <x v="469"/>
    <x v="3"/>
    <x v="2"/>
    <x v="482"/>
    <x v="4"/>
    <x v="1"/>
  </r>
  <r>
    <x v="493"/>
    <x v="46"/>
    <x v="1"/>
    <x v="0"/>
    <x v="0"/>
    <x v="470"/>
    <x v="2"/>
    <x v="2"/>
    <x v="483"/>
    <x v="10"/>
    <x v="1"/>
  </r>
  <r>
    <x v="494"/>
    <x v="2"/>
    <x v="1"/>
    <x v="0"/>
    <x v="0"/>
    <x v="471"/>
    <x v="3"/>
    <x v="3"/>
    <x v="484"/>
    <x v="7"/>
    <x v="1"/>
  </r>
  <r>
    <x v="495"/>
    <x v="41"/>
    <x v="1"/>
    <x v="0"/>
    <x v="0"/>
    <x v="472"/>
    <x v="1"/>
    <x v="3"/>
    <x v="485"/>
    <x v="1"/>
    <x v="1"/>
  </r>
  <r>
    <x v="496"/>
    <x v="29"/>
    <x v="1"/>
    <x v="0"/>
    <x v="0"/>
    <x v="473"/>
    <x v="3"/>
    <x v="2"/>
    <x v="181"/>
    <x v="1"/>
    <x v="1"/>
  </r>
  <r>
    <x v="497"/>
    <x v="1"/>
    <x v="1"/>
    <x v="0"/>
    <x v="1"/>
    <x v="474"/>
    <x v="0"/>
    <x v="3"/>
    <x v="486"/>
    <x v="6"/>
    <x v="1"/>
  </r>
  <r>
    <x v="498"/>
    <x v="11"/>
    <x v="0"/>
    <x v="0"/>
    <x v="0"/>
    <x v="414"/>
    <x v="0"/>
    <x v="3"/>
    <x v="487"/>
    <x v="18"/>
    <x v="0"/>
  </r>
  <r>
    <x v="499"/>
    <x v="22"/>
    <x v="1"/>
    <x v="2"/>
    <x v="0"/>
    <x v="475"/>
    <x v="0"/>
    <x v="2"/>
    <x v="488"/>
    <x v="1"/>
    <x v="1"/>
  </r>
  <r>
    <x v="500"/>
    <x v="22"/>
    <x v="1"/>
    <x v="1"/>
    <x v="0"/>
    <x v="476"/>
    <x v="0"/>
    <x v="0"/>
    <x v="489"/>
    <x v="0"/>
    <x v="1"/>
  </r>
  <r>
    <x v="501"/>
    <x v="19"/>
    <x v="1"/>
    <x v="0"/>
    <x v="0"/>
    <x v="130"/>
    <x v="2"/>
    <x v="1"/>
    <x v="490"/>
    <x v="4"/>
    <x v="1"/>
  </r>
  <r>
    <x v="502"/>
    <x v="12"/>
    <x v="1"/>
    <x v="0"/>
    <x v="0"/>
    <x v="477"/>
    <x v="0"/>
    <x v="3"/>
    <x v="491"/>
    <x v="6"/>
    <x v="1"/>
  </r>
  <r>
    <x v="503"/>
    <x v="23"/>
    <x v="1"/>
    <x v="1"/>
    <x v="0"/>
    <x v="478"/>
    <x v="2"/>
    <x v="2"/>
    <x v="492"/>
    <x v="6"/>
    <x v="1"/>
  </r>
  <r>
    <x v="504"/>
    <x v="29"/>
    <x v="1"/>
    <x v="0"/>
    <x v="0"/>
    <x v="479"/>
    <x v="1"/>
    <x v="2"/>
    <x v="493"/>
    <x v="0"/>
    <x v="1"/>
  </r>
  <r>
    <x v="505"/>
    <x v="12"/>
    <x v="1"/>
    <x v="2"/>
    <x v="0"/>
    <x v="259"/>
    <x v="0"/>
    <x v="3"/>
    <x v="494"/>
    <x v="4"/>
    <x v="1"/>
  </r>
  <r>
    <x v="506"/>
    <x v="40"/>
    <x v="1"/>
    <x v="1"/>
    <x v="0"/>
    <x v="480"/>
    <x v="1"/>
    <x v="3"/>
    <x v="495"/>
    <x v="0"/>
    <x v="0"/>
  </r>
  <r>
    <x v="507"/>
    <x v="3"/>
    <x v="1"/>
    <x v="1"/>
    <x v="0"/>
    <x v="481"/>
    <x v="0"/>
    <x v="2"/>
    <x v="496"/>
    <x v="1"/>
    <x v="0"/>
  </r>
  <r>
    <x v="508"/>
    <x v="7"/>
    <x v="1"/>
    <x v="0"/>
    <x v="0"/>
    <x v="482"/>
    <x v="2"/>
    <x v="1"/>
    <x v="497"/>
    <x v="9"/>
    <x v="1"/>
  </r>
  <r>
    <x v="509"/>
    <x v="10"/>
    <x v="0"/>
    <x v="0"/>
    <x v="1"/>
    <x v="483"/>
    <x v="1"/>
    <x v="3"/>
    <x v="498"/>
    <x v="1"/>
    <x v="1"/>
  </r>
  <r>
    <x v="510"/>
    <x v="21"/>
    <x v="1"/>
    <x v="0"/>
    <x v="0"/>
    <x v="265"/>
    <x v="3"/>
    <x v="3"/>
    <x v="499"/>
    <x v="2"/>
    <x v="0"/>
  </r>
  <r>
    <x v="511"/>
    <x v="10"/>
    <x v="1"/>
    <x v="0"/>
    <x v="0"/>
    <x v="484"/>
    <x v="2"/>
    <x v="1"/>
    <x v="500"/>
    <x v="2"/>
    <x v="1"/>
  </r>
  <r>
    <x v="512"/>
    <x v="18"/>
    <x v="1"/>
    <x v="2"/>
    <x v="1"/>
    <x v="485"/>
    <x v="0"/>
    <x v="0"/>
    <x v="501"/>
    <x v="6"/>
    <x v="0"/>
  </r>
  <r>
    <x v="513"/>
    <x v="34"/>
    <x v="0"/>
    <x v="2"/>
    <x v="0"/>
    <x v="486"/>
    <x v="1"/>
    <x v="2"/>
    <x v="502"/>
    <x v="16"/>
    <x v="1"/>
  </r>
  <r>
    <x v="514"/>
    <x v="41"/>
    <x v="0"/>
    <x v="0"/>
    <x v="0"/>
    <x v="487"/>
    <x v="3"/>
    <x v="2"/>
    <x v="50"/>
    <x v="1"/>
    <x v="1"/>
  </r>
  <r>
    <x v="515"/>
    <x v="2"/>
    <x v="1"/>
    <x v="1"/>
    <x v="0"/>
    <x v="488"/>
    <x v="3"/>
    <x v="2"/>
    <x v="503"/>
    <x v="3"/>
    <x v="1"/>
  </r>
  <r>
    <x v="516"/>
    <x v="0"/>
    <x v="0"/>
    <x v="1"/>
    <x v="1"/>
    <x v="489"/>
    <x v="0"/>
    <x v="3"/>
    <x v="504"/>
    <x v="2"/>
    <x v="0"/>
  </r>
  <r>
    <x v="517"/>
    <x v="23"/>
    <x v="0"/>
    <x v="0"/>
    <x v="0"/>
    <x v="490"/>
    <x v="3"/>
    <x v="2"/>
    <x v="505"/>
    <x v="0"/>
    <x v="1"/>
  </r>
  <r>
    <x v="518"/>
    <x v="3"/>
    <x v="0"/>
    <x v="0"/>
    <x v="0"/>
    <x v="491"/>
    <x v="2"/>
    <x v="0"/>
    <x v="506"/>
    <x v="10"/>
    <x v="0"/>
  </r>
  <r>
    <x v="519"/>
    <x v="11"/>
    <x v="1"/>
    <x v="0"/>
    <x v="0"/>
    <x v="492"/>
    <x v="0"/>
    <x v="0"/>
    <x v="507"/>
    <x v="0"/>
    <x v="0"/>
  </r>
  <r>
    <x v="520"/>
    <x v="0"/>
    <x v="1"/>
    <x v="0"/>
    <x v="0"/>
    <x v="493"/>
    <x v="0"/>
    <x v="1"/>
    <x v="508"/>
    <x v="0"/>
    <x v="0"/>
  </r>
  <r>
    <x v="521"/>
    <x v="8"/>
    <x v="0"/>
    <x v="0"/>
    <x v="1"/>
    <x v="494"/>
    <x v="0"/>
    <x v="0"/>
    <x v="509"/>
    <x v="2"/>
    <x v="1"/>
  </r>
  <r>
    <x v="522"/>
    <x v="35"/>
    <x v="1"/>
    <x v="0"/>
    <x v="1"/>
    <x v="495"/>
    <x v="2"/>
    <x v="2"/>
    <x v="510"/>
    <x v="6"/>
    <x v="1"/>
  </r>
  <r>
    <x v="523"/>
    <x v="13"/>
    <x v="1"/>
    <x v="1"/>
    <x v="0"/>
    <x v="496"/>
    <x v="3"/>
    <x v="3"/>
    <x v="511"/>
    <x v="6"/>
    <x v="1"/>
  </r>
  <r>
    <x v="524"/>
    <x v="26"/>
    <x v="1"/>
    <x v="0"/>
    <x v="0"/>
    <x v="497"/>
    <x v="0"/>
    <x v="2"/>
    <x v="512"/>
    <x v="1"/>
    <x v="1"/>
  </r>
  <r>
    <x v="525"/>
    <x v="21"/>
    <x v="1"/>
    <x v="0"/>
    <x v="0"/>
    <x v="498"/>
    <x v="0"/>
    <x v="2"/>
    <x v="513"/>
    <x v="6"/>
    <x v="1"/>
  </r>
  <r>
    <x v="526"/>
    <x v="14"/>
    <x v="0"/>
    <x v="0"/>
    <x v="0"/>
    <x v="499"/>
    <x v="0"/>
    <x v="2"/>
    <x v="514"/>
    <x v="3"/>
    <x v="1"/>
  </r>
  <r>
    <x v="527"/>
    <x v="16"/>
    <x v="0"/>
    <x v="2"/>
    <x v="1"/>
    <x v="500"/>
    <x v="0"/>
    <x v="2"/>
    <x v="515"/>
    <x v="6"/>
    <x v="1"/>
  </r>
  <r>
    <x v="528"/>
    <x v="31"/>
    <x v="1"/>
    <x v="0"/>
    <x v="0"/>
    <x v="501"/>
    <x v="0"/>
    <x v="0"/>
    <x v="516"/>
    <x v="10"/>
    <x v="1"/>
  </r>
  <r>
    <x v="529"/>
    <x v="55"/>
    <x v="1"/>
    <x v="1"/>
    <x v="2"/>
    <x v="502"/>
    <x v="0"/>
    <x v="3"/>
    <x v="517"/>
    <x v="30"/>
    <x v="1"/>
  </r>
  <r>
    <x v="530"/>
    <x v="6"/>
    <x v="1"/>
    <x v="0"/>
    <x v="0"/>
    <x v="503"/>
    <x v="0"/>
    <x v="2"/>
    <x v="518"/>
    <x v="3"/>
    <x v="1"/>
  </r>
  <r>
    <x v="531"/>
    <x v="56"/>
    <x v="1"/>
    <x v="1"/>
    <x v="0"/>
    <x v="504"/>
    <x v="1"/>
    <x v="0"/>
    <x v="519"/>
    <x v="6"/>
    <x v="0"/>
  </r>
  <r>
    <x v="532"/>
    <x v="7"/>
    <x v="1"/>
    <x v="2"/>
    <x v="1"/>
    <x v="505"/>
    <x v="0"/>
    <x v="3"/>
    <x v="520"/>
    <x v="0"/>
    <x v="0"/>
  </r>
  <r>
    <x v="533"/>
    <x v="24"/>
    <x v="0"/>
    <x v="2"/>
    <x v="1"/>
    <x v="506"/>
    <x v="2"/>
    <x v="2"/>
    <x v="521"/>
    <x v="5"/>
    <x v="1"/>
  </r>
  <r>
    <x v="534"/>
    <x v="7"/>
    <x v="1"/>
    <x v="2"/>
    <x v="0"/>
    <x v="507"/>
    <x v="2"/>
    <x v="0"/>
    <x v="522"/>
    <x v="6"/>
    <x v="0"/>
  </r>
  <r>
    <x v="535"/>
    <x v="23"/>
    <x v="1"/>
    <x v="2"/>
    <x v="0"/>
    <x v="508"/>
    <x v="0"/>
    <x v="0"/>
    <x v="523"/>
    <x v="16"/>
    <x v="1"/>
  </r>
  <r>
    <x v="536"/>
    <x v="11"/>
    <x v="0"/>
    <x v="0"/>
    <x v="1"/>
    <x v="509"/>
    <x v="2"/>
    <x v="2"/>
    <x v="524"/>
    <x v="6"/>
    <x v="1"/>
  </r>
  <r>
    <x v="537"/>
    <x v="17"/>
    <x v="1"/>
    <x v="1"/>
    <x v="0"/>
    <x v="196"/>
    <x v="2"/>
    <x v="1"/>
    <x v="525"/>
    <x v="6"/>
    <x v="0"/>
  </r>
  <r>
    <x v="538"/>
    <x v="51"/>
    <x v="1"/>
    <x v="2"/>
    <x v="0"/>
    <x v="510"/>
    <x v="0"/>
    <x v="2"/>
    <x v="526"/>
    <x v="6"/>
    <x v="1"/>
  </r>
  <r>
    <x v="539"/>
    <x v="39"/>
    <x v="0"/>
    <x v="0"/>
    <x v="1"/>
    <x v="511"/>
    <x v="1"/>
    <x v="0"/>
    <x v="527"/>
    <x v="6"/>
    <x v="0"/>
  </r>
  <r>
    <x v="540"/>
    <x v="7"/>
    <x v="0"/>
    <x v="1"/>
    <x v="2"/>
    <x v="512"/>
    <x v="1"/>
    <x v="2"/>
    <x v="528"/>
    <x v="6"/>
    <x v="0"/>
  </r>
  <r>
    <x v="541"/>
    <x v="8"/>
    <x v="0"/>
    <x v="0"/>
    <x v="0"/>
    <x v="513"/>
    <x v="0"/>
    <x v="0"/>
    <x v="529"/>
    <x v="1"/>
    <x v="1"/>
  </r>
  <r>
    <x v="542"/>
    <x v="14"/>
    <x v="0"/>
    <x v="0"/>
    <x v="0"/>
    <x v="514"/>
    <x v="0"/>
    <x v="0"/>
    <x v="530"/>
    <x v="6"/>
    <x v="1"/>
  </r>
  <r>
    <x v="543"/>
    <x v="7"/>
    <x v="1"/>
    <x v="0"/>
    <x v="1"/>
    <x v="515"/>
    <x v="0"/>
    <x v="0"/>
    <x v="531"/>
    <x v="12"/>
    <x v="0"/>
  </r>
  <r>
    <x v="544"/>
    <x v="13"/>
    <x v="1"/>
    <x v="0"/>
    <x v="0"/>
    <x v="516"/>
    <x v="0"/>
    <x v="3"/>
    <x v="532"/>
    <x v="0"/>
    <x v="1"/>
  </r>
  <r>
    <x v="545"/>
    <x v="6"/>
    <x v="1"/>
    <x v="0"/>
    <x v="1"/>
    <x v="517"/>
    <x v="2"/>
    <x v="0"/>
    <x v="533"/>
    <x v="10"/>
    <x v="1"/>
  </r>
  <r>
    <x v="546"/>
    <x v="11"/>
    <x v="0"/>
    <x v="0"/>
    <x v="1"/>
    <x v="518"/>
    <x v="3"/>
    <x v="2"/>
    <x v="534"/>
    <x v="2"/>
    <x v="1"/>
  </r>
  <r>
    <x v="547"/>
    <x v="2"/>
    <x v="1"/>
    <x v="0"/>
    <x v="0"/>
    <x v="519"/>
    <x v="0"/>
    <x v="2"/>
    <x v="535"/>
    <x v="5"/>
    <x v="1"/>
  </r>
  <r>
    <x v="548"/>
    <x v="19"/>
    <x v="1"/>
    <x v="2"/>
    <x v="0"/>
    <x v="520"/>
    <x v="0"/>
    <x v="0"/>
    <x v="536"/>
    <x v="6"/>
    <x v="1"/>
  </r>
  <r>
    <x v="549"/>
    <x v="4"/>
    <x v="1"/>
    <x v="2"/>
    <x v="0"/>
    <x v="521"/>
    <x v="0"/>
    <x v="2"/>
    <x v="537"/>
    <x v="6"/>
    <x v="0"/>
  </r>
  <r>
    <x v="550"/>
    <x v="16"/>
    <x v="1"/>
    <x v="0"/>
    <x v="0"/>
    <x v="522"/>
    <x v="0"/>
    <x v="0"/>
    <x v="538"/>
    <x v="31"/>
    <x v="0"/>
  </r>
  <r>
    <x v="551"/>
    <x v="12"/>
    <x v="1"/>
    <x v="0"/>
    <x v="0"/>
    <x v="523"/>
    <x v="0"/>
    <x v="1"/>
    <x v="539"/>
    <x v="6"/>
    <x v="1"/>
  </r>
  <r>
    <x v="552"/>
    <x v="52"/>
    <x v="0"/>
    <x v="0"/>
    <x v="1"/>
    <x v="524"/>
    <x v="0"/>
    <x v="0"/>
    <x v="285"/>
    <x v="3"/>
    <x v="0"/>
  </r>
  <r>
    <x v="553"/>
    <x v="25"/>
    <x v="1"/>
    <x v="0"/>
    <x v="0"/>
    <x v="418"/>
    <x v="2"/>
    <x v="2"/>
    <x v="540"/>
    <x v="10"/>
    <x v="1"/>
  </r>
  <r>
    <x v="554"/>
    <x v="6"/>
    <x v="1"/>
    <x v="0"/>
    <x v="0"/>
    <x v="525"/>
    <x v="0"/>
    <x v="1"/>
    <x v="541"/>
    <x v="6"/>
    <x v="1"/>
  </r>
  <r>
    <x v="555"/>
    <x v="14"/>
    <x v="1"/>
    <x v="1"/>
    <x v="1"/>
    <x v="526"/>
    <x v="1"/>
    <x v="2"/>
    <x v="542"/>
    <x v="1"/>
    <x v="1"/>
  </r>
  <r>
    <x v="556"/>
    <x v="10"/>
    <x v="1"/>
    <x v="0"/>
    <x v="0"/>
    <x v="527"/>
    <x v="0"/>
    <x v="3"/>
    <x v="543"/>
    <x v="28"/>
    <x v="1"/>
  </r>
  <r>
    <x v="557"/>
    <x v="6"/>
    <x v="1"/>
    <x v="0"/>
    <x v="0"/>
    <x v="528"/>
    <x v="1"/>
    <x v="3"/>
    <x v="544"/>
    <x v="2"/>
    <x v="1"/>
  </r>
  <r>
    <x v="558"/>
    <x v="6"/>
    <x v="1"/>
    <x v="1"/>
    <x v="0"/>
    <x v="529"/>
    <x v="0"/>
    <x v="3"/>
    <x v="545"/>
    <x v="1"/>
    <x v="0"/>
  </r>
  <r>
    <x v="559"/>
    <x v="4"/>
    <x v="0"/>
    <x v="1"/>
    <x v="1"/>
    <x v="141"/>
    <x v="0"/>
    <x v="3"/>
    <x v="546"/>
    <x v="6"/>
    <x v="1"/>
  </r>
  <r>
    <x v="560"/>
    <x v="3"/>
    <x v="0"/>
    <x v="0"/>
    <x v="0"/>
    <x v="530"/>
    <x v="0"/>
    <x v="0"/>
    <x v="547"/>
    <x v="3"/>
    <x v="1"/>
  </r>
  <r>
    <x v="561"/>
    <x v="57"/>
    <x v="0"/>
    <x v="0"/>
    <x v="1"/>
    <x v="531"/>
    <x v="2"/>
    <x v="2"/>
    <x v="548"/>
    <x v="5"/>
    <x v="0"/>
  </r>
  <r>
    <x v="562"/>
    <x v="17"/>
    <x v="1"/>
    <x v="2"/>
    <x v="0"/>
    <x v="525"/>
    <x v="0"/>
    <x v="0"/>
    <x v="549"/>
    <x v="6"/>
    <x v="1"/>
  </r>
  <r>
    <x v="563"/>
    <x v="13"/>
    <x v="1"/>
    <x v="0"/>
    <x v="0"/>
    <x v="532"/>
    <x v="2"/>
    <x v="2"/>
    <x v="550"/>
    <x v="0"/>
    <x v="1"/>
  </r>
  <r>
    <x v="564"/>
    <x v="17"/>
    <x v="1"/>
    <x v="2"/>
    <x v="0"/>
    <x v="533"/>
    <x v="2"/>
    <x v="0"/>
    <x v="551"/>
    <x v="4"/>
    <x v="1"/>
  </r>
  <r>
    <x v="565"/>
    <x v="6"/>
    <x v="0"/>
    <x v="0"/>
    <x v="1"/>
    <x v="534"/>
    <x v="0"/>
    <x v="2"/>
    <x v="552"/>
    <x v="4"/>
    <x v="1"/>
  </r>
  <r>
    <x v="566"/>
    <x v="2"/>
    <x v="1"/>
    <x v="0"/>
    <x v="0"/>
    <x v="535"/>
    <x v="3"/>
    <x v="2"/>
    <x v="553"/>
    <x v="4"/>
    <x v="1"/>
  </r>
  <r>
    <x v="567"/>
    <x v="22"/>
    <x v="1"/>
    <x v="0"/>
    <x v="0"/>
    <x v="536"/>
    <x v="3"/>
    <x v="2"/>
    <x v="554"/>
    <x v="6"/>
    <x v="1"/>
  </r>
  <r>
    <x v="568"/>
    <x v="10"/>
    <x v="1"/>
    <x v="0"/>
    <x v="0"/>
    <x v="537"/>
    <x v="1"/>
    <x v="3"/>
    <x v="555"/>
    <x v="11"/>
    <x v="0"/>
  </r>
  <r>
    <x v="569"/>
    <x v="23"/>
    <x v="0"/>
    <x v="0"/>
    <x v="2"/>
    <x v="538"/>
    <x v="1"/>
    <x v="0"/>
    <x v="556"/>
    <x v="0"/>
    <x v="0"/>
  </r>
  <r>
    <x v="570"/>
    <x v="2"/>
    <x v="0"/>
    <x v="0"/>
    <x v="0"/>
    <x v="539"/>
    <x v="0"/>
    <x v="0"/>
    <x v="557"/>
    <x v="6"/>
    <x v="1"/>
  </r>
  <r>
    <x v="571"/>
    <x v="28"/>
    <x v="1"/>
    <x v="0"/>
    <x v="0"/>
    <x v="540"/>
    <x v="2"/>
    <x v="2"/>
    <x v="558"/>
    <x v="2"/>
    <x v="1"/>
  </r>
  <r>
    <x v="572"/>
    <x v="10"/>
    <x v="0"/>
    <x v="2"/>
    <x v="0"/>
    <x v="541"/>
    <x v="0"/>
    <x v="3"/>
    <x v="559"/>
    <x v="6"/>
    <x v="1"/>
  </r>
  <r>
    <x v="573"/>
    <x v="0"/>
    <x v="0"/>
    <x v="1"/>
    <x v="0"/>
    <x v="542"/>
    <x v="1"/>
    <x v="3"/>
    <x v="560"/>
    <x v="11"/>
    <x v="0"/>
  </r>
  <r>
    <x v="574"/>
    <x v="6"/>
    <x v="1"/>
    <x v="0"/>
    <x v="0"/>
    <x v="543"/>
    <x v="3"/>
    <x v="2"/>
    <x v="561"/>
    <x v="24"/>
    <x v="1"/>
  </r>
  <r>
    <x v="575"/>
    <x v="22"/>
    <x v="1"/>
    <x v="1"/>
    <x v="2"/>
    <x v="544"/>
    <x v="1"/>
    <x v="1"/>
    <x v="562"/>
    <x v="6"/>
    <x v="0"/>
  </r>
  <r>
    <x v="576"/>
    <x v="29"/>
    <x v="1"/>
    <x v="0"/>
    <x v="0"/>
    <x v="545"/>
    <x v="2"/>
    <x v="3"/>
    <x v="318"/>
    <x v="1"/>
    <x v="0"/>
  </r>
  <r>
    <x v="577"/>
    <x v="28"/>
    <x v="1"/>
    <x v="0"/>
    <x v="0"/>
    <x v="546"/>
    <x v="0"/>
    <x v="0"/>
    <x v="563"/>
    <x v="1"/>
    <x v="1"/>
  </r>
  <r>
    <x v="578"/>
    <x v="12"/>
    <x v="0"/>
    <x v="0"/>
    <x v="1"/>
    <x v="308"/>
    <x v="2"/>
    <x v="0"/>
    <x v="564"/>
    <x v="1"/>
    <x v="0"/>
  </r>
  <r>
    <x v="579"/>
    <x v="1"/>
    <x v="1"/>
    <x v="0"/>
    <x v="0"/>
    <x v="547"/>
    <x v="0"/>
    <x v="2"/>
    <x v="565"/>
    <x v="2"/>
    <x v="1"/>
  </r>
  <r>
    <x v="580"/>
    <x v="58"/>
    <x v="1"/>
    <x v="1"/>
    <x v="2"/>
    <x v="548"/>
    <x v="0"/>
    <x v="0"/>
    <x v="566"/>
    <x v="6"/>
    <x v="1"/>
  </r>
  <r>
    <x v="581"/>
    <x v="3"/>
    <x v="0"/>
    <x v="0"/>
    <x v="0"/>
    <x v="549"/>
    <x v="0"/>
    <x v="2"/>
    <x v="567"/>
    <x v="10"/>
    <x v="1"/>
  </r>
  <r>
    <x v="582"/>
    <x v="30"/>
    <x v="1"/>
    <x v="1"/>
    <x v="2"/>
    <x v="550"/>
    <x v="0"/>
    <x v="0"/>
    <x v="568"/>
    <x v="1"/>
    <x v="1"/>
  </r>
  <r>
    <x v="583"/>
    <x v="41"/>
    <x v="1"/>
    <x v="2"/>
    <x v="0"/>
    <x v="491"/>
    <x v="0"/>
    <x v="0"/>
    <x v="569"/>
    <x v="23"/>
    <x v="0"/>
  </r>
  <r>
    <x v="584"/>
    <x v="41"/>
    <x v="1"/>
    <x v="2"/>
    <x v="0"/>
    <x v="551"/>
    <x v="0"/>
    <x v="1"/>
    <x v="570"/>
    <x v="9"/>
    <x v="1"/>
  </r>
  <r>
    <x v="585"/>
    <x v="17"/>
    <x v="0"/>
    <x v="0"/>
    <x v="0"/>
    <x v="552"/>
    <x v="0"/>
    <x v="0"/>
    <x v="571"/>
    <x v="6"/>
    <x v="0"/>
  </r>
  <r>
    <x v="586"/>
    <x v="18"/>
    <x v="1"/>
    <x v="1"/>
    <x v="1"/>
    <x v="553"/>
    <x v="0"/>
    <x v="3"/>
    <x v="572"/>
    <x v="4"/>
    <x v="1"/>
  </r>
  <r>
    <x v="587"/>
    <x v="35"/>
    <x v="1"/>
    <x v="0"/>
    <x v="0"/>
    <x v="554"/>
    <x v="0"/>
    <x v="0"/>
    <x v="573"/>
    <x v="9"/>
    <x v="1"/>
  </r>
  <r>
    <x v="588"/>
    <x v="1"/>
    <x v="0"/>
    <x v="0"/>
    <x v="0"/>
    <x v="555"/>
    <x v="0"/>
    <x v="2"/>
    <x v="574"/>
    <x v="0"/>
    <x v="1"/>
  </r>
  <r>
    <x v="589"/>
    <x v="11"/>
    <x v="0"/>
    <x v="1"/>
    <x v="1"/>
    <x v="556"/>
    <x v="2"/>
    <x v="0"/>
    <x v="575"/>
    <x v="2"/>
    <x v="0"/>
  </r>
  <r>
    <x v="590"/>
    <x v="13"/>
    <x v="1"/>
    <x v="0"/>
    <x v="2"/>
    <x v="557"/>
    <x v="2"/>
    <x v="2"/>
    <x v="576"/>
    <x v="4"/>
    <x v="1"/>
  </r>
  <r>
    <x v="591"/>
    <x v="10"/>
    <x v="0"/>
    <x v="0"/>
    <x v="1"/>
    <x v="558"/>
    <x v="2"/>
    <x v="3"/>
    <x v="577"/>
    <x v="1"/>
    <x v="0"/>
  </r>
  <r>
    <x v="592"/>
    <x v="11"/>
    <x v="1"/>
    <x v="0"/>
    <x v="0"/>
    <x v="559"/>
    <x v="1"/>
    <x v="3"/>
    <x v="578"/>
    <x v="11"/>
    <x v="0"/>
  </r>
  <r>
    <x v="593"/>
    <x v="0"/>
    <x v="0"/>
    <x v="0"/>
    <x v="1"/>
    <x v="560"/>
    <x v="2"/>
    <x v="0"/>
    <x v="579"/>
    <x v="1"/>
    <x v="0"/>
  </r>
  <r>
    <x v="594"/>
    <x v="23"/>
    <x v="0"/>
    <x v="0"/>
    <x v="0"/>
    <x v="561"/>
    <x v="2"/>
    <x v="2"/>
    <x v="580"/>
    <x v="9"/>
    <x v="1"/>
  </r>
  <r>
    <x v="595"/>
    <x v="20"/>
    <x v="1"/>
    <x v="0"/>
    <x v="0"/>
    <x v="562"/>
    <x v="3"/>
    <x v="3"/>
    <x v="581"/>
    <x v="6"/>
    <x v="1"/>
  </r>
  <r>
    <x v="596"/>
    <x v="41"/>
    <x v="1"/>
    <x v="0"/>
    <x v="1"/>
    <x v="563"/>
    <x v="0"/>
    <x v="0"/>
    <x v="582"/>
    <x v="4"/>
    <x v="1"/>
  </r>
  <r>
    <x v="597"/>
    <x v="19"/>
    <x v="1"/>
    <x v="1"/>
    <x v="0"/>
    <x v="189"/>
    <x v="0"/>
    <x v="2"/>
    <x v="583"/>
    <x v="1"/>
    <x v="1"/>
  </r>
  <r>
    <x v="598"/>
    <x v="12"/>
    <x v="1"/>
    <x v="0"/>
    <x v="1"/>
    <x v="13"/>
    <x v="1"/>
    <x v="2"/>
    <x v="584"/>
    <x v="5"/>
    <x v="1"/>
  </r>
  <r>
    <x v="599"/>
    <x v="13"/>
    <x v="1"/>
    <x v="0"/>
    <x v="0"/>
    <x v="564"/>
    <x v="3"/>
    <x v="1"/>
    <x v="585"/>
    <x v="2"/>
    <x v="1"/>
  </r>
  <r>
    <x v="600"/>
    <x v="26"/>
    <x v="0"/>
    <x v="0"/>
    <x v="0"/>
    <x v="565"/>
    <x v="3"/>
    <x v="2"/>
    <x v="586"/>
    <x v="6"/>
    <x v="1"/>
  </r>
  <r>
    <x v="601"/>
    <x v="31"/>
    <x v="1"/>
    <x v="0"/>
    <x v="0"/>
    <x v="566"/>
    <x v="0"/>
    <x v="2"/>
    <x v="587"/>
    <x v="3"/>
    <x v="1"/>
  </r>
  <r>
    <x v="602"/>
    <x v="2"/>
    <x v="1"/>
    <x v="0"/>
    <x v="0"/>
    <x v="567"/>
    <x v="2"/>
    <x v="2"/>
    <x v="588"/>
    <x v="3"/>
    <x v="1"/>
  </r>
  <r>
    <x v="603"/>
    <x v="37"/>
    <x v="1"/>
    <x v="1"/>
    <x v="0"/>
    <x v="568"/>
    <x v="0"/>
    <x v="0"/>
    <x v="589"/>
    <x v="10"/>
    <x v="1"/>
  </r>
  <r>
    <x v="604"/>
    <x v="53"/>
    <x v="1"/>
    <x v="0"/>
    <x v="2"/>
    <x v="569"/>
    <x v="0"/>
    <x v="1"/>
    <x v="590"/>
    <x v="21"/>
    <x v="1"/>
  </r>
  <r>
    <x v="605"/>
    <x v="7"/>
    <x v="0"/>
    <x v="0"/>
    <x v="0"/>
    <x v="570"/>
    <x v="0"/>
    <x v="3"/>
    <x v="591"/>
    <x v="6"/>
    <x v="1"/>
  </r>
  <r>
    <x v="606"/>
    <x v="36"/>
    <x v="1"/>
    <x v="0"/>
    <x v="0"/>
    <x v="571"/>
    <x v="1"/>
    <x v="2"/>
    <x v="592"/>
    <x v="0"/>
    <x v="0"/>
  </r>
  <r>
    <x v="607"/>
    <x v="0"/>
    <x v="0"/>
    <x v="1"/>
    <x v="1"/>
    <x v="572"/>
    <x v="1"/>
    <x v="2"/>
    <x v="593"/>
    <x v="6"/>
    <x v="0"/>
  </r>
  <r>
    <x v="608"/>
    <x v="37"/>
    <x v="1"/>
    <x v="2"/>
    <x v="0"/>
    <x v="573"/>
    <x v="0"/>
    <x v="2"/>
    <x v="594"/>
    <x v="20"/>
    <x v="1"/>
  </r>
  <r>
    <x v="609"/>
    <x v="10"/>
    <x v="1"/>
    <x v="1"/>
    <x v="0"/>
    <x v="574"/>
    <x v="0"/>
    <x v="3"/>
    <x v="595"/>
    <x v="10"/>
    <x v="0"/>
  </r>
  <r>
    <x v="610"/>
    <x v="31"/>
    <x v="1"/>
    <x v="0"/>
    <x v="0"/>
    <x v="353"/>
    <x v="1"/>
    <x v="0"/>
    <x v="596"/>
    <x v="1"/>
    <x v="0"/>
  </r>
  <r>
    <x v="611"/>
    <x v="12"/>
    <x v="0"/>
    <x v="0"/>
    <x v="0"/>
    <x v="575"/>
    <x v="0"/>
    <x v="2"/>
    <x v="597"/>
    <x v="3"/>
    <x v="1"/>
  </r>
  <r>
    <x v="612"/>
    <x v="22"/>
    <x v="1"/>
    <x v="1"/>
    <x v="0"/>
    <x v="576"/>
    <x v="0"/>
    <x v="0"/>
    <x v="598"/>
    <x v="14"/>
    <x v="1"/>
  </r>
  <r>
    <x v="613"/>
    <x v="31"/>
    <x v="1"/>
    <x v="2"/>
    <x v="0"/>
    <x v="577"/>
    <x v="1"/>
    <x v="3"/>
    <x v="599"/>
    <x v="6"/>
    <x v="1"/>
  </r>
  <r>
    <x v="614"/>
    <x v="17"/>
    <x v="1"/>
    <x v="0"/>
    <x v="2"/>
    <x v="578"/>
    <x v="0"/>
    <x v="2"/>
    <x v="600"/>
    <x v="1"/>
    <x v="1"/>
  </r>
  <r>
    <x v="615"/>
    <x v="18"/>
    <x v="1"/>
    <x v="0"/>
    <x v="0"/>
    <x v="579"/>
    <x v="3"/>
    <x v="2"/>
    <x v="601"/>
    <x v="4"/>
    <x v="1"/>
  </r>
  <r>
    <x v="616"/>
    <x v="32"/>
    <x v="1"/>
    <x v="0"/>
    <x v="0"/>
    <x v="580"/>
    <x v="0"/>
    <x v="2"/>
    <x v="602"/>
    <x v="1"/>
    <x v="1"/>
  </r>
  <r>
    <x v="617"/>
    <x v="1"/>
    <x v="0"/>
    <x v="0"/>
    <x v="0"/>
    <x v="581"/>
    <x v="3"/>
    <x v="3"/>
    <x v="603"/>
    <x v="11"/>
    <x v="1"/>
  </r>
  <r>
    <x v="618"/>
    <x v="6"/>
    <x v="1"/>
    <x v="2"/>
    <x v="0"/>
    <x v="582"/>
    <x v="2"/>
    <x v="0"/>
    <x v="604"/>
    <x v="7"/>
    <x v="1"/>
  </r>
  <r>
    <x v="619"/>
    <x v="18"/>
    <x v="1"/>
    <x v="0"/>
    <x v="0"/>
    <x v="583"/>
    <x v="0"/>
    <x v="2"/>
    <x v="605"/>
    <x v="2"/>
    <x v="1"/>
  </r>
  <r>
    <x v="620"/>
    <x v="10"/>
    <x v="0"/>
    <x v="0"/>
    <x v="1"/>
    <x v="584"/>
    <x v="0"/>
    <x v="0"/>
    <x v="606"/>
    <x v="3"/>
    <x v="1"/>
  </r>
  <r>
    <x v="621"/>
    <x v="58"/>
    <x v="0"/>
    <x v="2"/>
    <x v="0"/>
    <x v="585"/>
    <x v="3"/>
    <x v="3"/>
    <x v="607"/>
    <x v="5"/>
    <x v="1"/>
  </r>
  <r>
    <x v="622"/>
    <x v="51"/>
    <x v="1"/>
    <x v="2"/>
    <x v="0"/>
    <x v="586"/>
    <x v="3"/>
    <x v="2"/>
    <x v="608"/>
    <x v="6"/>
    <x v="1"/>
  </r>
  <r>
    <x v="623"/>
    <x v="10"/>
    <x v="1"/>
    <x v="2"/>
    <x v="1"/>
    <x v="587"/>
    <x v="2"/>
    <x v="0"/>
    <x v="609"/>
    <x v="3"/>
    <x v="1"/>
  </r>
  <r>
    <x v="624"/>
    <x v="4"/>
    <x v="1"/>
    <x v="0"/>
    <x v="0"/>
    <x v="588"/>
    <x v="1"/>
    <x v="3"/>
    <x v="610"/>
    <x v="3"/>
    <x v="1"/>
  </r>
  <r>
    <x v="625"/>
    <x v="8"/>
    <x v="0"/>
    <x v="1"/>
    <x v="1"/>
    <x v="589"/>
    <x v="0"/>
    <x v="0"/>
    <x v="611"/>
    <x v="7"/>
    <x v="1"/>
  </r>
  <r>
    <x v="626"/>
    <x v="36"/>
    <x v="1"/>
    <x v="2"/>
    <x v="1"/>
    <x v="590"/>
    <x v="2"/>
    <x v="0"/>
    <x v="334"/>
    <x v="3"/>
    <x v="1"/>
  </r>
  <r>
    <x v="627"/>
    <x v="16"/>
    <x v="1"/>
    <x v="0"/>
    <x v="2"/>
    <x v="591"/>
    <x v="0"/>
    <x v="0"/>
    <x v="612"/>
    <x v="1"/>
    <x v="1"/>
  </r>
  <r>
    <x v="628"/>
    <x v="23"/>
    <x v="0"/>
    <x v="0"/>
    <x v="0"/>
    <x v="592"/>
    <x v="3"/>
    <x v="3"/>
    <x v="613"/>
    <x v="16"/>
    <x v="1"/>
  </r>
  <r>
    <x v="629"/>
    <x v="5"/>
    <x v="1"/>
    <x v="0"/>
    <x v="0"/>
    <x v="593"/>
    <x v="2"/>
    <x v="2"/>
    <x v="614"/>
    <x v="11"/>
    <x v="1"/>
  </r>
  <r>
    <x v="630"/>
    <x v="6"/>
    <x v="1"/>
    <x v="2"/>
    <x v="1"/>
    <x v="594"/>
    <x v="0"/>
    <x v="2"/>
    <x v="615"/>
    <x v="6"/>
    <x v="1"/>
  </r>
  <r>
    <x v="631"/>
    <x v="22"/>
    <x v="0"/>
    <x v="2"/>
    <x v="0"/>
    <x v="595"/>
    <x v="0"/>
    <x v="2"/>
    <x v="616"/>
    <x v="2"/>
    <x v="1"/>
  </r>
  <r>
    <x v="632"/>
    <x v="53"/>
    <x v="1"/>
    <x v="0"/>
    <x v="0"/>
    <x v="596"/>
    <x v="0"/>
    <x v="2"/>
    <x v="617"/>
    <x v="6"/>
    <x v="1"/>
  </r>
  <r>
    <x v="633"/>
    <x v="7"/>
    <x v="1"/>
    <x v="1"/>
    <x v="0"/>
    <x v="597"/>
    <x v="3"/>
    <x v="1"/>
    <x v="618"/>
    <x v="4"/>
    <x v="1"/>
  </r>
  <r>
    <x v="634"/>
    <x v="17"/>
    <x v="1"/>
    <x v="0"/>
    <x v="2"/>
    <x v="598"/>
    <x v="1"/>
    <x v="0"/>
    <x v="619"/>
    <x v="1"/>
    <x v="0"/>
  </r>
  <r>
    <x v="635"/>
    <x v="35"/>
    <x v="1"/>
    <x v="0"/>
    <x v="2"/>
    <x v="599"/>
    <x v="2"/>
    <x v="0"/>
    <x v="620"/>
    <x v="1"/>
    <x v="1"/>
  </r>
  <r>
    <x v="636"/>
    <x v="8"/>
    <x v="1"/>
    <x v="2"/>
    <x v="0"/>
    <x v="600"/>
    <x v="0"/>
    <x v="0"/>
    <x v="621"/>
    <x v="28"/>
    <x v="1"/>
  </r>
  <r>
    <x v="637"/>
    <x v="12"/>
    <x v="1"/>
    <x v="0"/>
    <x v="0"/>
    <x v="601"/>
    <x v="0"/>
    <x v="2"/>
    <x v="622"/>
    <x v="6"/>
    <x v="1"/>
  </r>
  <r>
    <x v="638"/>
    <x v="3"/>
    <x v="0"/>
    <x v="0"/>
    <x v="1"/>
    <x v="602"/>
    <x v="2"/>
    <x v="2"/>
    <x v="623"/>
    <x v="29"/>
    <x v="1"/>
  </r>
  <r>
    <x v="639"/>
    <x v="2"/>
    <x v="0"/>
    <x v="2"/>
    <x v="0"/>
    <x v="603"/>
    <x v="0"/>
    <x v="2"/>
    <x v="624"/>
    <x v="6"/>
    <x v="1"/>
  </r>
  <r>
    <x v="640"/>
    <x v="12"/>
    <x v="0"/>
    <x v="1"/>
    <x v="1"/>
    <x v="604"/>
    <x v="2"/>
    <x v="2"/>
    <x v="625"/>
    <x v="1"/>
    <x v="1"/>
  </r>
  <r>
    <x v="641"/>
    <x v="14"/>
    <x v="1"/>
    <x v="0"/>
    <x v="1"/>
    <x v="605"/>
    <x v="0"/>
    <x v="2"/>
    <x v="626"/>
    <x v="4"/>
    <x v="1"/>
  </r>
  <r>
    <x v="642"/>
    <x v="8"/>
    <x v="0"/>
    <x v="1"/>
    <x v="0"/>
    <x v="190"/>
    <x v="0"/>
    <x v="0"/>
    <x v="527"/>
    <x v="1"/>
    <x v="0"/>
  </r>
  <r>
    <x v="643"/>
    <x v="1"/>
    <x v="1"/>
    <x v="1"/>
    <x v="0"/>
    <x v="606"/>
    <x v="0"/>
    <x v="3"/>
    <x v="627"/>
    <x v="14"/>
    <x v="1"/>
  </r>
  <r>
    <x v="644"/>
    <x v="4"/>
    <x v="1"/>
    <x v="1"/>
    <x v="0"/>
    <x v="607"/>
    <x v="1"/>
    <x v="2"/>
    <x v="628"/>
    <x v="7"/>
    <x v="1"/>
  </r>
  <r>
    <x v="645"/>
    <x v="21"/>
    <x v="1"/>
    <x v="0"/>
    <x v="1"/>
    <x v="608"/>
    <x v="3"/>
    <x v="2"/>
    <x v="176"/>
    <x v="4"/>
    <x v="1"/>
  </r>
  <r>
    <x v="646"/>
    <x v="36"/>
    <x v="0"/>
    <x v="1"/>
    <x v="0"/>
    <x v="609"/>
    <x v="0"/>
    <x v="0"/>
    <x v="629"/>
    <x v="0"/>
    <x v="0"/>
  </r>
  <r>
    <x v="647"/>
    <x v="22"/>
    <x v="1"/>
    <x v="0"/>
    <x v="0"/>
    <x v="610"/>
    <x v="2"/>
    <x v="2"/>
    <x v="630"/>
    <x v="1"/>
    <x v="1"/>
  </r>
  <r>
    <x v="648"/>
    <x v="39"/>
    <x v="1"/>
    <x v="1"/>
    <x v="0"/>
    <x v="592"/>
    <x v="3"/>
    <x v="2"/>
    <x v="631"/>
    <x v="5"/>
    <x v="0"/>
  </r>
  <r>
    <x v="649"/>
    <x v="43"/>
    <x v="1"/>
    <x v="0"/>
    <x v="1"/>
    <x v="611"/>
    <x v="2"/>
    <x v="2"/>
    <x v="632"/>
    <x v="3"/>
    <x v="0"/>
  </r>
  <r>
    <x v="650"/>
    <x v="3"/>
    <x v="0"/>
    <x v="1"/>
    <x v="0"/>
    <x v="612"/>
    <x v="2"/>
    <x v="0"/>
    <x v="633"/>
    <x v="21"/>
    <x v="0"/>
  </r>
  <r>
    <x v="651"/>
    <x v="12"/>
    <x v="0"/>
    <x v="0"/>
    <x v="0"/>
    <x v="613"/>
    <x v="0"/>
    <x v="2"/>
    <x v="634"/>
    <x v="6"/>
    <x v="1"/>
  </r>
  <r>
    <x v="652"/>
    <x v="49"/>
    <x v="1"/>
    <x v="0"/>
    <x v="2"/>
    <x v="614"/>
    <x v="0"/>
    <x v="0"/>
    <x v="635"/>
    <x v="0"/>
    <x v="0"/>
  </r>
  <r>
    <x v="653"/>
    <x v="26"/>
    <x v="1"/>
    <x v="2"/>
    <x v="2"/>
    <x v="615"/>
    <x v="3"/>
    <x v="2"/>
    <x v="636"/>
    <x v="0"/>
    <x v="1"/>
  </r>
  <r>
    <x v="654"/>
    <x v="18"/>
    <x v="1"/>
    <x v="2"/>
    <x v="0"/>
    <x v="616"/>
    <x v="0"/>
    <x v="0"/>
    <x v="637"/>
    <x v="1"/>
    <x v="1"/>
  </r>
  <r>
    <x v="655"/>
    <x v="48"/>
    <x v="1"/>
    <x v="0"/>
    <x v="1"/>
    <x v="617"/>
    <x v="0"/>
    <x v="0"/>
    <x v="638"/>
    <x v="6"/>
    <x v="0"/>
  </r>
  <r>
    <x v="656"/>
    <x v="38"/>
    <x v="1"/>
    <x v="0"/>
    <x v="0"/>
    <x v="98"/>
    <x v="0"/>
    <x v="3"/>
    <x v="639"/>
    <x v="16"/>
    <x v="1"/>
  </r>
  <r>
    <x v="657"/>
    <x v="10"/>
    <x v="0"/>
    <x v="0"/>
    <x v="1"/>
    <x v="618"/>
    <x v="0"/>
    <x v="1"/>
    <x v="640"/>
    <x v="2"/>
    <x v="1"/>
  </r>
  <r>
    <x v="658"/>
    <x v="16"/>
    <x v="1"/>
    <x v="1"/>
    <x v="2"/>
    <x v="619"/>
    <x v="0"/>
    <x v="0"/>
    <x v="641"/>
    <x v="5"/>
    <x v="0"/>
  </r>
  <r>
    <x v="659"/>
    <x v="27"/>
    <x v="1"/>
    <x v="0"/>
    <x v="2"/>
    <x v="620"/>
    <x v="3"/>
    <x v="2"/>
    <x v="642"/>
    <x v="6"/>
    <x v="0"/>
  </r>
  <r>
    <x v="660"/>
    <x v="10"/>
    <x v="0"/>
    <x v="1"/>
    <x v="0"/>
    <x v="621"/>
    <x v="0"/>
    <x v="3"/>
    <x v="643"/>
    <x v="10"/>
    <x v="0"/>
  </r>
  <r>
    <x v="661"/>
    <x v="7"/>
    <x v="0"/>
    <x v="0"/>
    <x v="0"/>
    <x v="622"/>
    <x v="0"/>
    <x v="2"/>
    <x v="644"/>
    <x v="6"/>
    <x v="1"/>
  </r>
  <r>
    <x v="662"/>
    <x v="11"/>
    <x v="0"/>
    <x v="0"/>
    <x v="0"/>
    <x v="623"/>
    <x v="3"/>
    <x v="3"/>
    <x v="645"/>
    <x v="16"/>
    <x v="1"/>
  </r>
  <r>
    <x v="663"/>
    <x v="10"/>
    <x v="0"/>
    <x v="2"/>
    <x v="1"/>
    <x v="624"/>
    <x v="0"/>
    <x v="2"/>
    <x v="646"/>
    <x v="20"/>
    <x v="1"/>
  </r>
  <r>
    <x v="664"/>
    <x v="21"/>
    <x v="1"/>
    <x v="0"/>
    <x v="0"/>
    <x v="625"/>
    <x v="0"/>
    <x v="2"/>
    <x v="647"/>
    <x v="1"/>
    <x v="1"/>
  </r>
  <r>
    <x v="665"/>
    <x v="31"/>
    <x v="0"/>
    <x v="1"/>
    <x v="2"/>
    <x v="626"/>
    <x v="1"/>
    <x v="1"/>
    <x v="648"/>
    <x v="9"/>
    <x v="0"/>
  </r>
  <r>
    <x v="666"/>
    <x v="52"/>
    <x v="0"/>
    <x v="2"/>
    <x v="1"/>
    <x v="627"/>
    <x v="0"/>
    <x v="3"/>
    <x v="649"/>
    <x v="1"/>
    <x v="0"/>
  </r>
  <r>
    <x v="667"/>
    <x v="10"/>
    <x v="1"/>
    <x v="2"/>
    <x v="0"/>
    <x v="628"/>
    <x v="0"/>
    <x v="3"/>
    <x v="650"/>
    <x v="9"/>
    <x v="1"/>
  </r>
  <r>
    <x v="668"/>
    <x v="32"/>
    <x v="1"/>
    <x v="0"/>
    <x v="0"/>
    <x v="629"/>
    <x v="3"/>
    <x v="2"/>
    <x v="651"/>
    <x v="3"/>
    <x v="1"/>
  </r>
  <r>
    <x v="669"/>
    <x v="54"/>
    <x v="0"/>
    <x v="1"/>
    <x v="2"/>
    <x v="630"/>
    <x v="2"/>
    <x v="2"/>
    <x v="652"/>
    <x v="6"/>
    <x v="1"/>
  </r>
  <r>
    <x v="670"/>
    <x v="26"/>
    <x v="1"/>
    <x v="0"/>
    <x v="0"/>
    <x v="631"/>
    <x v="1"/>
    <x v="2"/>
    <x v="653"/>
    <x v="1"/>
    <x v="1"/>
  </r>
  <r>
    <x v="671"/>
    <x v="16"/>
    <x v="0"/>
    <x v="0"/>
    <x v="1"/>
    <x v="632"/>
    <x v="0"/>
    <x v="0"/>
    <x v="654"/>
    <x v="1"/>
    <x v="1"/>
  </r>
  <r>
    <x v="672"/>
    <x v="1"/>
    <x v="1"/>
    <x v="2"/>
    <x v="0"/>
    <x v="499"/>
    <x v="0"/>
    <x v="3"/>
    <x v="655"/>
    <x v="6"/>
    <x v="0"/>
  </r>
  <r>
    <x v="673"/>
    <x v="41"/>
    <x v="0"/>
    <x v="0"/>
    <x v="1"/>
    <x v="633"/>
    <x v="3"/>
    <x v="2"/>
    <x v="656"/>
    <x v="6"/>
    <x v="1"/>
  </r>
  <r>
    <x v="674"/>
    <x v="5"/>
    <x v="1"/>
    <x v="2"/>
    <x v="0"/>
    <x v="634"/>
    <x v="0"/>
    <x v="0"/>
    <x v="657"/>
    <x v="18"/>
    <x v="1"/>
  </r>
  <r>
    <x v="675"/>
    <x v="1"/>
    <x v="1"/>
    <x v="1"/>
    <x v="1"/>
    <x v="635"/>
    <x v="0"/>
    <x v="3"/>
    <x v="658"/>
    <x v="4"/>
    <x v="1"/>
  </r>
  <r>
    <x v="676"/>
    <x v="11"/>
    <x v="0"/>
    <x v="0"/>
    <x v="0"/>
    <x v="390"/>
    <x v="0"/>
    <x v="0"/>
    <x v="659"/>
    <x v="10"/>
    <x v="0"/>
  </r>
  <r>
    <x v="677"/>
    <x v="12"/>
    <x v="0"/>
    <x v="2"/>
    <x v="0"/>
    <x v="636"/>
    <x v="0"/>
    <x v="3"/>
    <x v="660"/>
    <x v="3"/>
    <x v="1"/>
  </r>
  <r>
    <x v="678"/>
    <x v="1"/>
    <x v="1"/>
    <x v="1"/>
    <x v="0"/>
    <x v="637"/>
    <x v="0"/>
    <x v="0"/>
    <x v="661"/>
    <x v="0"/>
    <x v="1"/>
  </r>
  <r>
    <x v="679"/>
    <x v="54"/>
    <x v="1"/>
    <x v="0"/>
    <x v="1"/>
    <x v="638"/>
    <x v="1"/>
    <x v="0"/>
    <x v="662"/>
    <x v="22"/>
    <x v="0"/>
  </r>
  <r>
    <x v="680"/>
    <x v="29"/>
    <x v="1"/>
    <x v="0"/>
    <x v="0"/>
    <x v="639"/>
    <x v="2"/>
    <x v="1"/>
    <x v="663"/>
    <x v="1"/>
    <x v="1"/>
  </r>
  <r>
    <x v="681"/>
    <x v="12"/>
    <x v="0"/>
    <x v="0"/>
    <x v="0"/>
    <x v="339"/>
    <x v="0"/>
    <x v="2"/>
    <x v="664"/>
    <x v="3"/>
    <x v="1"/>
  </r>
  <r>
    <x v="682"/>
    <x v="4"/>
    <x v="1"/>
    <x v="2"/>
    <x v="0"/>
    <x v="640"/>
    <x v="1"/>
    <x v="2"/>
    <x v="665"/>
    <x v="2"/>
    <x v="1"/>
  </r>
  <r>
    <x v="683"/>
    <x v="8"/>
    <x v="1"/>
    <x v="1"/>
    <x v="0"/>
    <x v="641"/>
    <x v="0"/>
    <x v="0"/>
    <x v="666"/>
    <x v="1"/>
    <x v="0"/>
  </r>
  <r>
    <x v="684"/>
    <x v="2"/>
    <x v="1"/>
    <x v="1"/>
    <x v="2"/>
    <x v="642"/>
    <x v="0"/>
    <x v="2"/>
    <x v="667"/>
    <x v="0"/>
    <x v="1"/>
  </r>
  <r>
    <x v="685"/>
    <x v="23"/>
    <x v="1"/>
    <x v="1"/>
    <x v="2"/>
    <x v="643"/>
    <x v="2"/>
    <x v="1"/>
    <x v="668"/>
    <x v="11"/>
    <x v="1"/>
  </r>
  <r>
    <x v="686"/>
    <x v="32"/>
    <x v="1"/>
    <x v="1"/>
    <x v="0"/>
    <x v="644"/>
    <x v="2"/>
    <x v="2"/>
    <x v="669"/>
    <x v="11"/>
    <x v="1"/>
  </r>
  <r>
    <x v="687"/>
    <x v="0"/>
    <x v="0"/>
    <x v="0"/>
    <x v="0"/>
    <x v="645"/>
    <x v="1"/>
    <x v="2"/>
    <x v="670"/>
    <x v="22"/>
    <x v="1"/>
  </r>
  <r>
    <x v="688"/>
    <x v="15"/>
    <x v="1"/>
    <x v="0"/>
    <x v="0"/>
    <x v="646"/>
    <x v="2"/>
    <x v="2"/>
    <x v="671"/>
    <x v="1"/>
    <x v="1"/>
  </r>
  <r>
    <x v="689"/>
    <x v="41"/>
    <x v="0"/>
    <x v="0"/>
    <x v="0"/>
    <x v="647"/>
    <x v="0"/>
    <x v="0"/>
    <x v="672"/>
    <x v="4"/>
    <x v="1"/>
  </r>
  <r>
    <x v="690"/>
    <x v="29"/>
    <x v="1"/>
    <x v="2"/>
    <x v="0"/>
    <x v="648"/>
    <x v="1"/>
    <x v="3"/>
    <x v="673"/>
    <x v="0"/>
    <x v="1"/>
  </r>
  <r>
    <x v="691"/>
    <x v="7"/>
    <x v="1"/>
    <x v="0"/>
    <x v="0"/>
    <x v="649"/>
    <x v="0"/>
    <x v="2"/>
    <x v="674"/>
    <x v="6"/>
    <x v="1"/>
  </r>
  <r>
    <x v="692"/>
    <x v="26"/>
    <x v="0"/>
    <x v="2"/>
    <x v="0"/>
    <x v="650"/>
    <x v="3"/>
    <x v="2"/>
    <x v="675"/>
    <x v="6"/>
    <x v="1"/>
  </r>
  <r>
    <x v="693"/>
    <x v="2"/>
    <x v="1"/>
    <x v="2"/>
    <x v="0"/>
    <x v="651"/>
    <x v="0"/>
    <x v="2"/>
    <x v="676"/>
    <x v="9"/>
    <x v="1"/>
  </r>
  <r>
    <x v="694"/>
    <x v="7"/>
    <x v="1"/>
    <x v="0"/>
    <x v="0"/>
    <x v="652"/>
    <x v="0"/>
    <x v="0"/>
    <x v="677"/>
    <x v="1"/>
    <x v="1"/>
  </r>
  <r>
    <x v="695"/>
    <x v="4"/>
    <x v="1"/>
    <x v="0"/>
    <x v="0"/>
    <x v="653"/>
    <x v="0"/>
    <x v="2"/>
    <x v="678"/>
    <x v="6"/>
    <x v="1"/>
  </r>
  <r>
    <x v="696"/>
    <x v="7"/>
    <x v="1"/>
    <x v="1"/>
    <x v="0"/>
    <x v="654"/>
    <x v="0"/>
    <x v="2"/>
    <x v="679"/>
    <x v="1"/>
    <x v="1"/>
  </r>
  <r>
    <x v="697"/>
    <x v="14"/>
    <x v="1"/>
    <x v="2"/>
    <x v="0"/>
    <x v="655"/>
    <x v="2"/>
    <x v="1"/>
    <x v="680"/>
    <x v="1"/>
    <x v="1"/>
  </r>
  <r>
    <x v="698"/>
    <x v="10"/>
    <x v="0"/>
    <x v="2"/>
    <x v="1"/>
    <x v="656"/>
    <x v="1"/>
    <x v="3"/>
    <x v="681"/>
    <x v="6"/>
    <x v="1"/>
  </r>
  <r>
    <x v="699"/>
    <x v="39"/>
    <x v="0"/>
    <x v="1"/>
    <x v="0"/>
    <x v="657"/>
    <x v="1"/>
    <x v="0"/>
    <x v="682"/>
    <x v="6"/>
    <x v="0"/>
  </r>
  <r>
    <x v="700"/>
    <x v="12"/>
    <x v="0"/>
    <x v="0"/>
    <x v="1"/>
    <x v="147"/>
    <x v="2"/>
    <x v="0"/>
    <x v="683"/>
    <x v="1"/>
    <x v="1"/>
  </r>
  <r>
    <x v="701"/>
    <x v="32"/>
    <x v="0"/>
    <x v="0"/>
    <x v="1"/>
    <x v="658"/>
    <x v="0"/>
    <x v="0"/>
    <x v="684"/>
    <x v="2"/>
    <x v="1"/>
  </r>
  <r>
    <x v="702"/>
    <x v="2"/>
    <x v="1"/>
    <x v="0"/>
    <x v="0"/>
    <x v="659"/>
    <x v="2"/>
    <x v="2"/>
    <x v="238"/>
    <x v="1"/>
    <x v="1"/>
  </r>
  <r>
    <x v="703"/>
    <x v="26"/>
    <x v="1"/>
    <x v="0"/>
    <x v="2"/>
    <x v="660"/>
    <x v="0"/>
    <x v="2"/>
    <x v="685"/>
    <x v="2"/>
    <x v="1"/>
  </r>
  <r>
    <x v="704"/>
    <x v="19"/>
    <x v="1"/>
    <x v="1"/>
    <x v="0"/>
    <x v="661"/>
    <x v="0"/>
    <x v="3"/>
    <x v="686"/>
    <x v="4"/>
    <x v="0"/>
  </r>
  <r>
    <x v="705"/>
    <x v="18"/>
    <x v="1"/>
    <x v="0"/>
    <x v="0"/>
    <x v="662"/>
    <x v="0"/>
    <x v="0"/>
    <x v="687"/>
    <x v="3"/>
    <x v="0"/>
  </r>
  <r>
    <x v="706"/>
    <x v="12"/>
    <x v="1"/>
    <x v="0"/>
    <x v="0"/>
    <x v="663"/>
    <x v="0"/>
    <x v="3"/>
    <x v="688"/>
    <x v="18"/>
    <x v="1"/>
  </r>
  <r>
    <x v="707"/>
    <x v="1"/>
    <x v="1"/>
    <x v="0"/>
    <x v="0"/>
    <x v="664"/>
    <x v="0"/>
    <x v="0"/>
    <x v="689"/>
    <x v="7"/>
    <x v="1"/>
  </r>
  <r>
    <x v="708"/>
    <x v="13"/>
    <x v="1"/>
    <x v="0"/>
    <x v="0"/>
    <x v="665"/>
    <x v="2"/>
    <x v="2"/>
    <x v="690"/>
    <x v="10"/>
    <x v="1"/>
  </r>
  <r>
    <x v="709"/>
    <x v="4"/>
    <x v="0"/>
    <x v="0"/>
    <x v="0"/>
    <x v="666"/>
    <x v="0"/>
    <x v="2"/>
    <x v="691"/>
    <x v="0"/>
    <x v="1"/>
  </r>
  <r>
    <x v="710"/>
    <x v="7"/>
    <x v="1"/>
    <x v="1"/>
    <x v="0"/>
    <x v="667"/>
    <x v="0"/>
    <x v="0"/>
    <x v="692"/>
    <x v="14"/>
    <x v="1"/>
  </r>
  <r>
    <x v="711"/>
    <x v="8"/>
    <x v="1"/>
    <x v="0"/>
    <x v="0"/>
    <x v="668"/>
    <x v="0"/>
    <x v="2"/>
    <x v="693"/>
    <x v="1"/>
    <x v="1"/>
  </r>
  <r>
    <x v="712"/>
    <x v="17"/>
    <x v="1"/>
    <x v="0"/>
    <x v="0"/>
    <x v="669"/>
    <x v="2"/>
    <x v="2"/>
    <x v="694"/>
    <x v="12"/>
    <x v="1"/>
  </r>
  <r>
    <x v="713"/>
    <x v="11"/>
    <x v="0"/>
    <x v="1"/>
    <x v="1"/>
    <x v="670"/>
    <x v="0"/>
    <x v="0"/>
    <x v="695"/>
    <x v="1"/>
    <x v="0"/>
  </r>
  <r>
    <x v="714"/>
    <x v="6"/>
    <x v="0"/>
    <x v="0"/>
    <x v="0"/>
    <x v="671"/>
    <x v="2"/>
    <x v="2"/>
    <x v="696"/>
    <x v="7"/>
    <x v="0"/>
  </r>
  <r>
    <x v="715"/>
    <x v="17"/>
    <x v="1"/>
    <x v="2"/>
    <x v="0"/>
    <x v="672"/>
    <x v="0"/>
    <x v="3"/>
    <x v="697"/>
    <x v="3"/>
    <x v="1"/>
  </r>
  <r>
    <x v="716"/>
    <x v="8"/>
    <x v="1"/>
    <x v="0"/>
    <x v="1"/>
    <x v="333"/>
    <x v="0"/>
    <x v="3"/>
    <x v="698"/>
    <x v="6"/>
    <x v="1"/>
  </r>
  <r>
    <x v="717"/>
    <x v="27"/>
    <x v="1"/>
    <x v="0"/>
    <x v="2"/>
    <x v="673"/>
    <x v="1"/>
    <x v="0"/>
    <x v="699"/>
    <x v="21"/>
    <x v="1"/>
  </r>
  <r>
    <x v="718"/>
    <x v="22"/>
    <x v="1"/>
    <x v="0"/>
    <x v="0"/>
    <x v="674"/>
    <x v="0"/>
    <x v="2"/>
    <x v="700"/>
    <x v="3"/>
    <x v="1"/>
  </r>
  <r>
    <x v="719"/>
    <x v="7"/>
    <x v="1"/>
    <x v="0"/>
    <x v="0"/>
    <x v="675"/>
    <x v="0"/>
    <x v="3"/>
    <x v="701"/>
    <x v="5"/>
    <x v="1"/>
  </r>
  <r>
    <x v="720"/>
    <x v="29"/>
    <x v="0"/>
    <x v="0"/>
    <x v="0"/>
    <x v="676"/>
    <x v="0"/>
    <x v="0"/>
    <x v="702"/>
    <x v="4"/>
    <x v="1"/>
  </r>
  <r>
    <x v="721"/>
    <x v="23"/>
    <x v="1"/>
    <x v="2"/>
    <x v="1"/>
    <x v="677"/>
    <x v="3"/>
    <x v="2"/>
    <x v="703"/>
    <x v="9"/>
    <x v="1"/>
  </r>
  <r>
    <x v="722"/>
    <x v="13"/>
    <x v="0"/>
    <x v="0"/>
    <x v="2"/>
    <x v="480"/>
    <x v="1"/>
    <x v="2"/>
    <x v="704"/>
    <x v="11"/>
    <x v="0"/>
  </r>
  <r>
    <x v="723"/>
    <x v="4"/>
    <x v="1"/>
    <x v="1"/>
    <x v="0"/>
    <x v="678"/>
    <x v="0"/>
    <x v="2"/>
    <x v="705"/>
    <x v="0"/>
    <x v="1"/>
  </r>
  <r>
    <x v="724"/>
    <x v="41"/>
    <x v="1"/>
    <x v="0"/>
    <x v="0"/>
    <x v="133"/>
    <x v="0"/>
    <x v="2"/>
    <x v="706"/>
    <x v="0"/>
    <x v="1"/>
  </r>
  <r>
    <x v="725"/>
    <x v="16"/>
    <x v="0"/>
    <x v="0"/>
    <x v="1"/>
    <x v="679"/>
    <x v="1"/>
    <x v="1"/>
    <x v="707"/>
    <x v="3"/>
    <x v="0"/>
  </r>
  <r>
    <x v="726"/>
    <x v="0"/>
    <x v="1"/>
    <x v="1"/>
    <x v="0"/>
    <x v="287"/>
    <x v="0"/>
    <x v="0"/>
    <x v="708"/>
    <x v="3"/>
    <x v="0"/>
  </r>
  <r>
    <x v="727"/>
    <x v="5"/>
    <x v="1"/>
    <x v="0"/>
    <x v="2"/>
    <x v="680"/>
    <x v="0"/>
    <x v="2"/>
    <x v="709"/>
    <x v="3"/>
    <x v="1"/>
  </r>
  <r>
    <x v="728"/>
    <x v="16"/>
    <x v="0"/>
    <x v="0"/>
    <x v="0"/>
    <x v="681"/>
    <x v="0"/>
    <x v="3"/>
    <x v="710"/>
    <x v="6"/>
    <x v="1"/>
  </r>
  <r>
    <x v="729"/>
    <x v="41"/>
    <x v="1"/>
    <x v="1"/>
    <x v="0"/>
    <x v="682"/>
    <x v="3"/>
    <x v="2"/>
    <x v="711"/>
    <x v="11"/>
    <x v="1"/>
  </r>
  <r>
    <x v="730"/>
    <x v="13"/>
    <x v="1"/>
    <x v="0"/>
    <x v="0"/>
    <x v="683"/>
    <x v="2"/>
    <x v="2"/>
    <x v="712"/>
    <x v="0"/>
    <x v="1"/>
  </r>
  <r>
    <x v="731"/>
    <x v="10"/>
    <x v="1"/>
    <x v="0"/>
    <x v="0"/>
    <x v="684"/>
    <x v="2"/>
    <x v="1"/>
    <x v="713"/>
    <x v="6"/>
    <x v="0"/>
  </r>
  <r>
    <x v="732"/>
    <x v="6"/>
    <x v="1"/>
    <x v="0"/>
    <x v="0"/>
    <x v="685"/>
    <x v="0"/>
    <x v="0"/>
    <x v="714"/>
    <x v="6"/>
    <x v="0"/>
  </r>
  <r>
    <x v="733"/>
    <x v="23"/>
    <x v="1"/>
    <x v="2"/>
    <x v="0"/>
    <x v="686"/>
    <x v="0"/>
    <x v="3"/>
    <x v="715"/>
    <x v="6"/>
    <x v="1"/>
  </r>
  <r>
    <x v="734"/>
    <x v="48"/>
    <x v="0"/>
    <x v="0"/>
    <x v="1"/>
    <x v="687"/>
    <x v="2"/>
    <x v="2"/>
    <x v="716"/>
    <x v="14"/>
    <x v="0"/>
  </r>
  <r>
    <x v="735"/>
    <x v="34"/>
    <x v="0"/>
    <x v="0"/>
    <x v="1"/>
    <x v="688"/>
    <x v="3"/>
    <x v="0"/>
    <x v="717"/>
    <x v="10"/>
    <x v="1"/>
  </r>
  <r>
    <x v="736"/>
    <x v="13"/>
    <x v="1"/>
    <x v="0"/>
    <x v="0"/>
    <x v="689"/>
    <x v="3"/>
    <x v="2"/>
    <x v="630"/>
    <x v="21"/>
    <x v="1"/>
  </r>
  <r>
    <x v="737"/>
    <x v="32"/>
    <x v="0"/>
    <x v="1"/>
    <x v="0"/>
    <x v="690"/>
    <x v="1"/>
    <x v="2"/>
    <x v="718"/>
    <x v="10"/>
    <x v="0"/>
  </r>
  <r>
    <x v="738"/>
    <x v="17"/>
    <x v="0"/>
    <x v="1"/>
    <x v="2"/>
    <x v="691"/>
    <x v="0"/>
    <x v="0"/>
    <x v="719"/>
    <x v="1"/>
    <x v="1"/>
  </r>
  <r>
    <x v="739"/>
    <x v="12"/>
    <x v="0"/>
    <x v="1"/>
    <x v="0"/>
    <x v="692"/>
    <x v="0"/>
    <x v="0"/>
    <x v="720"/>
    <x v="0"/>
    <x v="0"/>
  </r>
  <r>
    <x v="740"/>
    <x v="1"/>
    <x v="1"/>
    <x v="0"/>
    <x v="2"/>
    <x v="693"/>
    <x v="1"/>
    <x v="3"/>
    <x v="721"/>
    <x v="1"/>
    <x v="1"/>
  </r>
  <r>
    <x v="741"/>
    <x v="8"/>
    <x v="0"/>
    <x v="0"/>
    <x v="1"/>
    <x v="694"/>
    <x v="3"/>
    <x v="2"/>
    <x v="722"/>
    <x v="1"/>
    <x v="1"/>
  </r>
  <r>
    <x v="742"/>
    <x v="16"/>
    <x v="0"/>
    <x v="2"/>
    <x v="0"/>
    <x v="695"/>
    <x v="0"/>
    <x v="0"/>
    <x v="723"/>
    <x v="2"/>
    <x v="1"/>
  </r>
  <r>
    <x v="743"/>
    <x v="14"/>
    <x v="1"/>
    <x v="2"/>
    <x v="0"/>
    <x v="696"/>
    <x v="2"/>
    <x v="1"/>
    <x v="724"/>
    <x v="20"/>
    <x v="1"/>
  </r>
  <r>
    <x v="744"/>
    <x v="10"/>
    <x v="0"/>
    <x v="0"/>
    <x v="1"/>
    <x v="697"/>
    <x v="0"/>
    <x v="2"/>
    <x v="725"/>
    <x v="9"/>
    <x v="1"/>
  </r>
  <r>
    <x v="745"/>
    <x v="4"/>
    <x v="1"/>
    <x v="0"/>
    <x v="0"/>
    <x v="454"/>
    <x v="3"/>
    <x v="3"/>
    <x v="726"/>
    <x v="10"/>
    <x v="1"/>
  </r>
  <r>
    <x v="746"/>
    <x v="26"/>
    <x v="1"/>
    <x v="0"/>
    <x v="0"/>
    <x v="698"/>
    <x v="3"/>
    <x v="0"/>
    <x v="727"/>
    <x v="6"/>
    <x v="1"/>
  </r>
  <r>
    <x v="747"/>
    <x v="54"/>
    <x v="1"/>
    <x v="0"/>
    <x v="0"/>
    <x v="699"/>
    <x v="1"/>
    <x v="2"/>
    <x v="728"/>
    <x v="1"/>
    <x v="1"/>
  </r>
  <r>
    <x v="748"/>
    <x v="26"/>
    <x v="1"/>
    <x v="1"/>
    <x v="0"/>
    <x v="700"/>
    <x v="0"/>
    <x v="3"/>
    <x v="729"/>
    <x v="4"/>
    <x v="1"/>
  </r>
  <r>
    <x v="749"/>
    <x v="40"/>
    <x v="1"/>
    <x v="0"/>
    <x v="0"/>
    <x v="701"/>
    <x v="1"/>
    <x v="2"/>
    <x v="730"/>
    <x v="9"/>
    <x v="1"/>
  </r>
  <r>
    <x v="750"/>
    <x v="35"/>
    <x v="0"/>
    <x v="1"/>
    <x v="2"/>
    <x v="702"/>
    <x v="2"/>
    <x v="3"/>
    <x v="731"/>
    <x v="22"/>
    <x v="0"/>
  </r>
  <r>
    <x v="751"/>
    <x v="21"/>
    <x v="1"/>
    <x v="1"/>
    <x v="2"/>
    <x v="703"/>
    <x v="1"/>
    <x v="0"/>
    <x v="732"/>
    <x v="0"/>
    <x v="0"/>
  </r>
  <r>
    <x v="752"/>
    <x v="3"/>
    <x v="1"/>
    <x v="1"/>
    <x v="0"/>
    <x v="704"/>
    <x v="0"/>
    <x v="2"/>
    <x v="733"/>
    <x v="3"/>
    <x v="0"/>
  </r>
  <r>
    <x v="753"/>
    <x v="11"/>
    <x v="1"/>
    <x v="0"/>
    <x v="1"/>
    <x v="705"/>
    <x v="0"/>
    <x v="0"/>
    <x v="734"/>
    <x v="6"/>
    <x v="0"/>
  </r>
  <r>
    <x v="754"/>
    <x v="52"/>
    <x v="0"/>
    <x v="0"/>
    <x v="1"/>
    <x v="505"/>
    <x v="2"/>
    <x v="0"/>
    <x v="735"/>
    <x v="6"/>
    <x v="0"/>
  </r>
  <r>
    <x v="755"/>
    <x v="21"/>
    <x v="0"/>
    <x v="2"/>
    <x v="0"/>
    <x v="706"/>
    <x v="0"/>
    <x v="1"/>
    <x v="736"/>
    <x v="4"/>
    <x v="1"/>
  </r>
  <r>
    <x v="756"/>
    <x v="16"/>
    <x v="0"/>
    <x v="0"/>
    <x v="1"/>
    <x v="707"/>
    <x v="1"/>
    <x v="2"/>
    <x v="737"/>
    <x v="5"/>
    <x v="1"/>
  </r>
  <r>
    <x v="757"/>
    <x v="38"/>
    <x v="1"/>
    <x v="0"/>
    <x v="2"/>
    <x v="708"/>
    <x v="0"/>
    <x v="1"/>
    <x v="738"/>
    <x v="1"/>
    <x v="1"/>
  </r>
  <r>
    <x v="758"/>
    <x v="26"/>
    <x v="1"/>
    <x v="0"/>
    <x v="0"/>
    <x v="709"/>
    <x v="0"/>
    <x v="3"/>
    <x v="739"/>
    <x v="26"/>
    <x v="1"/>
  </r>
  <r>
    <x v="759"/>
    <x v="24"/>
    <x v="1"/>
    <x v="1"/>
    <x v="0"/>
    <x v="710"/>
    <x v="0"/>
    <x v="3"/>
    <x v="740"/>
    <x v="3"/>
    <x v="1"/>
  </r>
  <r>
    <x v="760"/>
    <x v="20"/>
    <x v="1"/>
    <x v="0"/>
    <x v="2"/>
    <x v="670"/>
    <x v="0"/>
    <x v="2"/>
    <x v="703"/>
    <x v="1"/>
    <x v="1"/>
  </r>
  <r>
    <x v="761"/>
    <x v="5"/>
    <x v="1"/>
    <x v="2"/>
    <x v="0"/>
    <x v="711"/>
    <x v="3"/>
    <x v="2"/>
    <x v="741"/>
    <x v="2"/>
    <x v="1"/>
  </r>
  <r>
    <x v="762"/>
    <x v="6"/>
    <x v="1"/>
    <x v="0"/>
    <x v="0"/>
    <x v="613"/>
    <x v="3"/>
    <x v="2"/>
    <x v="742"/>
    <x v="4"/>
    <x v="1"/>
  </r>
  <r>
    <x v="763"/>
    <x v="32"/>
    <x v="1"/>
    <x v="1"/>
    <x v="0"/>
    <x v="712"/>
    <x v="2"/>
    <x v="2"/>
    <x v="743"/>
    <x v="6"/>
    <x v="1"/>
  </r>
  <r>
    <x v="764"/>
    <x v="14"/>
    <x v="1"/>
    <x v="0"/>
    <x v="0"/>
    <x v="713"/>
    <x v="2"/>
    <x v="2"/>
    <x v="744"/>
    <x v="1"/>
    <x v="0"/>
  </r>
  <r>
    <x v="765"/>
    <x v="3"/>
    <x v="1"/>
    <x v="0"/>
    <x v="1"/>
    <x v="714"/>
    <x v="0"/>
    <x v="0"/>
    <x v="745"/>
    <x v="1"/>
    <x v="0"/>
  </r>
  <r>
    <x v="766"/>
    <x v="19"/>
    <x v="1"/>
    <x v="0"/>
    <x v="0"/>
    <x v="715"/>
    <x v="0"/>
    <x v="2"/>
    <x v="746"/>
    <x v="9"/>
    <x v="1"/>
  </r>
  <r>
    <x v="767"/>
    <x v="37"/>
    <x v="1"/>
    <x v="0"/>
    <x v="2"/>
    <x v="716"/>
    <x v="1"/>
    <x v="2"/>
    <x v="747"/>
    <x v="4"/>
    <x v="1"/>
  </r>
  <r>
    <x v="768"/>
    <x v="43"/>
    <x v="0"/>
    <x v="1"/>
    <x v="1"/>
    <x v="717"/>
    <x v="0"/>
    <x v="2"/>
    <x v="748"/>
    <x v="2"/>
    <x v="1"/>
  </r>
  <r>
    <x v="769"/>
    <x v="8"/>
    <x v="1"/>
    <x v="0"/>
    <x v="0"/>
    <x v="718"/>
    <x v="3"/>
    <x v="1"/>
    <x v="749"/>
    <x v="15"/>
    <x v="1"/>
  </r>
  <r>
    <x v="770"/>
    <x v="11"/>
    <x v="0"/>
    <x v="0"/>
    <x v="1"/>
    <x v="719"/>
    <x v="2"/>
    <x v="3"/>
    <x v="750"/>
    <x v="4"/>
    <x v="0"/>
  </r>
  <r>
    <x v="771"/>
    <x v="2"/>
    <x v="1"/>
    <x v="0"/>
    <x v="0"/>
    <x v="720"/>
    <x v="2"/>
    <x v="2"/>
    <x v="751"/>
    <x v="11"/>
    <x v="1"/>
  </r>
  <r>
    <x v="772"/>
    <x v="42"/>
    <x v="1"/>
    <x v="0"/>
    <x v="0"/>
    <x v="721"/>
    <x v="2"/>
    <x v="0"/>
    <x v="246"/>
    <x v="4"/>
    <x v="1"/>
  </r>
  <r>
    <x v="773"/>
    <x v="44"/>
    <x v="1"/>
    <x v="0"/>
    <x v="2"/>
    <x v="722"/>
    <x v="0"/>
    <x v="0"/>
    <x v="752"/>
    <x v="15"/>
    <x v="0"/>
  </r>
  <r>
    <x v="774"/>
    <x v="43"/>
    <x v="0"/>
    <x v="1"/>
    <x v="0"/>
    <x v="723"/>
    <x v="2"/>
    <x v="1"/>
    <x v="491"/>
    <x v="6"/>
    <x v="1"/>
  </r>
  <r>
    <x v="775"/>
    <x v="29"/>
    <x v="1"/>
    <x v="1"/>
    <x v="0"/>
    <x v="724"/>
    <x v="2"/>
    <x v="2"/>
    <x v="753"/>
    <x v="0"/>
    <x v="1"/>
  </r>
  <r>
    <x v="776"/>
    <x v="1"/>
    <x v="1"/>
    <x v="0"/>
    <x v="0"/>
    <x v="250"/>
    <x v="1"/>
    <x v="3"/>
    <x v="754"/>
    <x v="11"/>
    <x v="1"/>
  </r>
  <r>
    <x v="777"/>
    <x v="8"/>
    <x v="1"/>
    <x v="0"/>
    <x v="0"/>
    <x v="725"/>
    <x v="3"/>
    <x v="0"/>
    <x v="755"/>
    <x v="3"/>
    <x v="1"/>
  </r>
  <r>
    <x v="778"/>
    <x v="41"/>
    <x v="0"/>
    <x v="0"/>
    <x v="0"/>
    <x v="726"/>
    <x v="0"/>
    <x v="2"/>
    <x v="756"/>
    <x v="20"/>
    <x v="1"/>
  </r>
  <r>
    <x v="779"/>
    <x v="35"/>
    <x v="1"/>
    <x v="2"/>
    <x v="0"/>
    <x v="727"/>
    <x v="2"/>
    <x v="0"/>
    <x v="757"/>
    <x v="6"/>
    <x v="1"/>
  </r>
  <r>
    <x v="780"/>
    <x v="54"/>
    <x v="1"/>
    <x v="0"/>
    <x v="0"/>
    <x v="728"/>
    <x v="0"/>
    <x v="2"/>
    <x v="89"/>
    <x v="6"/>
    <x v="1"/>
  </r>
  <r>
    <x v="781"/>
    <x v="10"/>
    <x v="0"/>
    <x v="0"/>
    <x v="0"/>
    <x v="729"/>
    <x v="1"/>
    <x v="2"/>
    <x v="758"/>
    <x v="1"/>
    <x v="1"/>
  </r>
  <r>
    <x v="782"/>
    <x v="29"/>
    <x v="1"/>
    <x v="0"/>
    <x v="0"/>
    <x v="730"/>
    <x v="0"/>
    <x v="2"/>
    <x v="759"/>
    <x v="2"/>
    <x v="1"/>
  </r>
  <r>
    <x v="783"/>
    <x v="54"/>
    <x v="1"/>
    <x v="0"/>
    <x v="0"/>
    <x v="731"/>
    <x v="0"/>
    <x v="2"/>
    <x v="104"/>
    <x v="6"/>
    <x v="1"/>
  </r>
  <r>
    <x v="784"/>
    <x v="1"/>
    <x v="1"/>
    <x v="0"/>
    <x v="0"/>
    <x v="732"/>
    <x v="0"/>
    <x v="2"/>
    <x v="760"/>
    <x v="5"/>
    <x v="1"/>
  </r>
  <r>
    <x v="785"/>
    <x v="41"/>
    <x v="0"/>
    <x v="0"/>
    <x v="0"/>
    <x v="733"/>
    <x v="0"/>
    <x v="3"/>
    <x v="761"/>
    <x v="3"/>
    <x v="1"/>
  </r>
  <r>
    <x v="786"/>
    <x v="13"/>
    <x v="0"/>
    <x v="0"/>
    <x v="0"/>
    <x v="734"/>
    <x v="0"/>
    <x v="1"/>
    <x v="762"/>
    <x v="6"/>
    <x v="1"/>
  </r>
  <r>
    <x v="787"/>
    <x v="13"/>
    <x v="1"/>
    <x v="0"/>
    <x v="0"/>
    <x v="735"/>
    <x v="1"/>
    <x v="2"/>
    <x v="763"/>
    <x v="1"/>
    <x v="1"/>
  </r>
  <r>
    <x v="788"/>
    <x v="37"/>
    <x v="1"/>
    <x v="0"/>
    <x v="2"/>
    <x v="736"/>
    <x v="0"/>
    <x v="0"/>
    <x v="764"/>
    <x v="0"/>
    <x v="1"/>
  </r>
  <r>
    <x v="789"/>
    <x v="17"/>
    <x v="1"/>
    <x v="0"/>
    <x v="0"/>
    <x v="737"/>
    <x v="0"/>
    <x v="0"/>
    <x v="765"/>
    <x v="2"/>
    <x v="1"/>
  </r>
  <r>
    <x v="790"/>
    <x v="1"/>
    <x v="1"/>
    <x v="1"/>
    <x v="0"/>
    <x v="738"/>
    <x v="0"/>
    <x v="2"/>
    <x v="766"/>
    <x v="3"/>
    <x v="1"/>
  </r>
  <r>
    <x v="791"/>
    <x v="0"/>
    <x v="1"/>
    <x v="2"/>
    <x v="0"/>
    <x v="739"/>
    <x v="0"/>
    <x v="0"/>
    <x v="767"/>
    <x v="1"/>
    <x v="1"/>
  </r>
  <r>
    <x v="792"/>
    <x v="51"/>
    <x v="0"/>
    <x v="0"/>
    <x v="0"/>
    <x v="740"/>
    <x v="2"/>
    <x v="2"/>
    <x v="768"/>
    <x v="6"/>
    <x v="1"/>
  </r>
  <r>
    <x v="793"/>
    <x v="4"/>
    <x v="1"/>
    <x v="2"/>
    <x v="0"/>
    <x v="741"/>
    <x v="0"/>
    <x v="3"/>
    <x v="769"/>
    <x v="6"/>
    <x v="0"/>
  </r>
  <r>
    <x v="794"/>
    <x v="26"/>
    <x v="1"/>
    <x v="2"/>
    <x v="0"/>
    <x v="742"/>
    <x v="0"/>
    <x v="2"/>
    <x v="770"/>
    <x v="3"/>
    <x v="0"/>
  </r>
  <r>
    <x v="795"/>
    <x v="12"/>
    <x v="0"/>
    <x v="2"/>
    <x v="1"/>
    <x v="743"/>
    <x v="0"/>
    <x v="0"/>
    <x v="771"/>
    <x v="7"/>
    <x v="1"/>
  </r>
  <r>
    <x v="796"/>
    <x v="14"/>
    <x v="0"/>
    <x v="0"/>
    <x v="0"/>
    <x v="350"/>
    <x v="0"/>
    <x v="2"/>
    <x v="772"/>
    <x v="4"/>
    <x v="1"/>
  </r>
  <r>
    <x v="797"/>
    <x v="11"/>
    <x v="0"/>
    <x v="1"/>
    <x v="0"/>
    <x v="744"/>
    <x v="2"/>
    <x v="1"/>
    <x v="773"/>
    <x v="8"/>
    <x v="0"/>
  </r>
  <r>
    <x v="798"/>
    <x v="5"/>
    <x v="1"/>
    <x v="2"/>
    <x v="0"/>
    <x v="745"/>
    <x v="0"/>
    <x v="3"/>
    <x v="774"/>
    <x v="6"/>
    <x v="1"/>
  </r>
  <r>
    <x v="799"/>
    <x v="49"/>
    <x v="1"/>
    <x v="1"/>
    <x v="0"/>
    <x v="746"/>
    <x v="2"/>
    <x v="1"/>
    <x v="775"/>
    <x v="11"/>
    <x v="1"/>
  </r>
  <r>
    <x v="800"/>
    <x v="4"/>
    <x v="0"/>
    <x v="1"/>
    <x v="0"/>
    <x v="747"/>
    <x v="2"/>
    <x v="0"/>
    <x v="776"/>
    <x v="3"/>
    <x v="0"/>
  </r>
  <r>
    <x v="801"/>
    <x v="19"/>
    <x v="1"/>
    <x v="2"/>
    <x v="0"/>
    <x v="748"/>
    <x v="0"/>
    <x v="3"/>
    <x v="777"/>
    <x v="2"/>
    <x v="1"/>
  </r>
  <r>
    <x v="802"/>
    <x v="54"/>
    <x v="0"/>
    <x v="2"/>
    <x v="0"/>
    <x v="749"/>
    <x v="1"/>
    <x v="2"/>
    <x v="778"/>
    <x v="4"/>
    <x v="1"/>
  </r>
  <r>
    <x v="803"/>
    <x v="10"/>
    <x v="0"/>
    <x v="1"/>
    <x v="0"/>
    <x v="750"/>
    <x v="0"/>
    <x v="1"/>
    <x v="779"/>
    <x v="3"/>
    <x v="1"/>
  </r>
  <r>
    <x v="804"/>
    <x v="21"/>
    <x v="1"/>
    <x v="0"/>
    <x v="0"/>
    <x v="751"/>
    <x v="3"/>
    <x v="2"/>
    <x v="780"/>
    <x v="1"/>
    <x v="1"/>
  </r>
  <r>
    <x v="805"/>
    <x v="9"/>
    <x v="1"/>
    <x v="2"/>
    <x v="1"/>
    <x v="752"/>
    <x v="0"/>
    <x v="0"/>
    <x v="781"/>
    <x v="1"/>
    <x v="1"/>
  </r>
  <r>
    <x v="806"/>
    <x v="11"/>
    <x v="1"/>
    <x v="1"/>
    <x v="0"/>
    <x v="753"/>
    <x v="2"/>
    <x v="1"/>
    <x v="782"/>
    <x v="4"/>
    <x v="0"/>
  </r>
  <r>
    <x v="807"/>
    <x v="22"/>
    <x v="1"/>
    <x v="0"/>
    <x v="0"/>
    <x v="754"/>
    <x v="2"/>
    <x v="1"/>
    <x v="783"/>
    <x v="3"/>
    <x v="1"/>
  </r>
  <r>
    <x v="808"/>
    <x v="4"/>
    <x v="1"/>
    <x v="1"/>
    <x v="0"/>
    <x v="755"/>
    <x v="0"/>
    <x v="3"/>
    <x v="784"/>
    <x v="6"/>
    <x v="1"/>
  </r>
  <r>
    <x v="809"/>
    <x v="6"/>
    <x v="1"/>
    <x v="1"/>
    <x v="1"/>
    <x v="756"/>
    <x v="2"/>
    <x v="3"/>
    <x v="785"/>
    <x v="0"/>
    <x v="0"/>
  </r>
  <r>
    <x v="810"/>
    <x v="16"/>
    <x v="1"/>
    <x v="0"/>
    <x v="1"/>
    <x v="757"/>
    <x v="2"/>
    <x v="2"/>
    <x v="786"/>
    <x v="0"/>
    <x v="0"/>
  </r>
  <r>
    <x v="811"/>
    <x v="24"/>
    <x v="1"/>
    <x v="0"/>
    <x v="0"/>
    <x v="23"/>
    <x v="1"/>
    <x v="3"/>
    <x v="787"/>
    <x v="10"/>
    <x v="1"/>
  </r>
  <r>
    <x v="812"/>
    <x v="27"/>
    <x v="0"/>
    <x v="2"/>
    <x v="0"/>
    <x v="758"/>
    <x v="2"/>
    <x v="2"/>
    <x v="788"/>
    <x v="0"/>
    <x v="1"/>
  </r>
  <r>
    <x v="813"/>
    <x v="0"/>
    <x v="1"/>
    <x v="0"/>
    <x v="0"/>
    <x v="138"/>
    <x v="0"/>
    <x v="0"/>
    <x v="789"/>
    <x v="3"/>
    <x v="0"/>
  </r>
  <r>
    <x v="814"/>
    <x v="29"/>
    <x v="1"/>
    <x v="0"/>
    <x v="0"/>
    <x v="759"/>
    <x v="1"/>
    <x v="3"/>
    <x v="790"/>
    <x v="12"/>
    <x v="1"/>
  </r>
  <r>
    <x v="815"/>
    <x v="29"/>
    <x v="1"/>
    <x v="1"/>
    <x v="1"/>
    <x v="242"/>
    <x v="0"/>
    <x v="2"/>
    <x v="791"/>
    <x v="6"/>
    <x v="1"/>
  </r>
  <r>
    <x v="816"/>
    <x v="38"/>
    <x v="1"/>
    <x v="0"/>
    <x v="0"/>
    <x v="760"/>
    <x v="0"/>
    <x v="2"/>
    <x v="792"/>
    <x v="4"/>
    <x v="1"/>
  </r>
  <r>
    <x v="817"/>
    <x v="29"/>
    <x v="1"/>
    <x v="2"/>
    <x v="0"/>
    <x v="761"/>
    <x v="0"/>
    <x v="3"/>
    <x v="793"/>
    <x v="6"/>
    <x v="1"/>
  </r>
  <r>
    <x v="818"/>
    <x v="18"/>
    <x v="1"/>
    <x v="0"/>
    <x v="0"/>
    <x v="762"/>
    <x v="0"/>
    <x v="1"/>
    <x v="794"/>
    <x v="21"/>
    <x v="1"/>
  </r>
  <r>
    <x v="819"/>
    <x v="29"/>
    <x v="1"/>
    <x v="0"/>
    <x v="2"/>
    <x v="763"/>
    <x v="0"/>
    <x v="2"/>
    <x v="795"/>
    <x v="11"/>
    <x v="1"/>
  </r>
  <r>
    <x v="820"/>
    <x v="11"/>
    <x v="0"/>
    <x v="0"/>
    <x v="1"/>
    <x v="764"/>
    <x v="3"/>
    <x v="2"/>
    <x v="796"/>
    <x v="2"/>
    <x v="1"/>
  </r>
  <r>
    <x v="821"/>
    <x v="41"/>
    <x v="1"/>
    <x v="2"/>
    <x v="0"/>
    <x v="765"/>
    <x v="0"/>
    <x v="3"/>
    <x v="502"/>
    <x v="5"/>
    <x v="1"/>
  </r>
  <r>
    <x v="822"/>
    <x v="12"/>
    <x v="0"/>
    <x v="0"/>
    <x v="0"/>
    <x v="766"/>
    <x v="2"/>
    <x v="0"/>
    <x v="797"/>
    <x v="1"/>
    <x v="0"/>
  </r>
  <r>
    <x v="823"/>
    <x v="20"/>
    <x v="1"/>
    <x v="0"/>
    <x v="0"/>
    <x v="767"/>
    <x v="2"/>
    <x v="2"/>
    <x v="752"/>
    <x v="1"/>
    <x v="1"/>
  </r>
  <r>
    <x v="824"/>
    <x v="32"/>
    <x v="1"/>
    <x v="0"/>
    <x v="2"/>
    <x v="768"/>
    <x v="0"/>
    <x v="0"/>
    <x v="798"/>
    <x v="0"/>
    <x v="0"/>
  </r>
  <r>
    <x v="825"/>
    <x v="12"/>
    <x v="1"/>
    <x v="0"/>
    <x v="0"/>
    <x v="769"/>
    <x v="3"/>
    <x v="3"/>
    <x v="799"/>
    <x v="6"/>
    <x v="1"/>
  </r>
  <r>
    <x v="826"/>
    <x v="16"/>
    <x v="1"/>
    <x v="0"/>
    <x v="0"/>
    <x v="770"/>
    <x v="0"/>
    <x v="0"/>
    <x v="800"/>
    <x v="1"/>
    <x v="0"/>
  </r>
  <r>
    <x v="827"/>
    <x v="6"/>
    <x v="0"/>
    <x v="1"/>
    <x v="1"/>
    <x v="771"/>
    <x v="0"/>
    <x v="0"/>
    <x v="801"/>
    <x v="1"/>
    <x v="0"/>
  </r>
  <r>
    <x v="828"/>
    <x v="14"/>
    <x v="0"/>
    <x v="0"/>
    <x v="0"/>
    <x v="772"/>
    <x v="3"/>
    <x v="0"/>
    <x v="802"/>
    <x v="7"/>
    <x v="1"/>
  </r>
  <r>
    <x v="829"/>
    <x v="4"/>
    <x v="1"/>
    <x v="2"/>
    <x v="0"/>
    <x v="773"/>
    <x v="2"/>
    <x v="2"/>
    <x v="803"/>
    <x v="7"/>
    <x v="0"/>
  </r>
  <r>
    <x v="830"/>
    <x v="3"/>
    <x v="1"/>
    <x v="2"/>
    <x v="0"/>
    <x v="774"/>
    <x v="0"/>
    <x v="3"/>
    <x v="804"/>
    <x v="3"/>
    <x v="1"/>
  </r>
  <r>
    <x v="831"/>
    <x v="7"/>
    <x v="1"/>
    <x v="1"/>
    <x v="2"/>
    <x v="775"/>
    <x v="2"/>
    <x v="1"/>
    <x v="805"/>
    <x v="22"/>
    <x v="1"/>
  </r>
  <r>
    <x v="832"/>
    <x v="32"/>
    <x v="1"/>
    <x v="0"/>
    <x v="0"/>
    <x v="776"/>
    <x v="0"/>
    <x v="1"/>
    <x v="806"/>
    <x v="4"/>
    <x v="1"/>
  </r>
  <r>
    <x v="833"/>
    <x v="12"/>
    <x v="1"/>
    <x v="0"/>
    <x v="0"/>
    <x v="777"/>
    <x v="1"/>
    <x v="0"/>
    <x v="172"/>
    <x v="1"/>
    <x v="1"/>
  </r>
  <r>
    <x v="834"/>
    <x v="26"/>
    <x v="1"/>
    <x v="2"/>
    <x v="0"/>
    <x v="778"/>
    <x v="1"/>
    <x v="0"/>
    <x v="807"/>
    <x v="3"/>
    <x v="1"/>
  </r>
  <r>
    <x v="835"/>
    <x v="43"/>
    <x v="1"/>
    <x v="0"/>
    <x v="0"/>
    <x v="779"/>
    <x v="3"/>
    <x v="2"/>
    <x v="693"/>
    <x v="6"/>
    <x v="1"/>
  </r>
  <r>
    <x v="836"/>
    <x v="7"/>
    <x v="1"/>
    <x v="0"/>
    <x v="0"/>
    <x v="780"/>
    <x v="0"/>
    <x v="3"/>
    <x v="808"/>
    <x v="7"/>
    <x v="1"/>
  </r>
  <r>
    <x v="837"/>
    <x v="3"/>
    <x v="0"/>
    <x v="0"/>
    <x v="0"/>
    <x v="781"/>
    <x v="2"/>
    <x v="0"/>
    <x v="809"/>
    <x v="6"/>
    <x v="0"/>
  </r>
  <r>
    <x v="838"/>
    <x v="26"/>
    <x v="1"/>
    <x v="0"/>
    <x v="1"/>
    <x v="782"/>
    <x v="0"/>
    <x v="3"/>
    <x v="810"/>
    <x v="5"/>
    <x v="1"/>
  </r>
  <r>
    <x v="839"/>
    <x v="2"/>
    <x v="1"/>
    <x v="0"/>
    <x v="1"/>
    <x v="783"/>
    <x v="3"/>
    <x v="2"/>
    <x v="811"/>
    <x v="1"/>
    <x v="1"/>
  </r>
  <r>
    <x v="840"/>
    <x v="45"/>
    <x v="0"/>
    <x v="1"/>
    <x v="0"/>
    <x v="784"/>
    <x v="0"/>
    <x v="2"/>
    <x v="812"/>
    <x v="3"/>
    <x v="1"/>
  </r>
  <r>
    <x v="841"/>
    <x v="26"/>
    <x v="1"/>
    <x v="0"/>
    <x v="1"/>
    <x v="785"/>
    <x v="1"/>
    <x v="2"/>
    <x v="813"/>
    <x v="4"/>
    <x v="1"/>
  </r>
  <r>
    <x v="842"/>
    <x v="10"/>
    <x v="0"/>
    <x v="1"/>
    <x v="0"/>
    <x v="786"/>
    <x v="0"/>
    <x v="2"/>
    <x v="184"/>
    <x v="0"/>
    <x v="0"/>
  </r>
  <r>
    <x v="843"/>
    <x v="14"/>
    <x v="0"/>
    <x v="1"/>
    <x v="0"/>
    <x v="787"/>
    <x v="0"/>
    <x v="2"/>
    <x v="814"/>
    <x v="6"/>
    <x v="1"/>
  </r>
  <r>
    <x v="844"/>
    <x v="44"/>
    <x v="0"/>
    <x v="2"/>
    <x v="0"/>
    <x v="788"/>
    <x v="0"/>
    <x v="0"/>
    <x v="815"/>
    <x v="3"/>
    <x v="0"/>
  </r>
  <r>
    <x v="845"/>
    <x v="13"/>
    <x v="1"/>
    <x v="1"/>
    <x v="1"/>
    <x v="789"/>
    <x v="2"/>
    <x v="1"/>
    <x v="816"/>
    <x v="12"/>
    <x v="1"/>
  </r>
  <r>
    <x v="846"/>
    <x v="14"/>
    <x v="0"/>
    <x v="0"/>
    <x v="0"/>
    <x v="790"/>
    <x v="2"/>
    <x v="0"/>
    <x v="817"/>
    <x v="1"/>
    <x v="0"/>
  </r>
  <r>
    <x v="847"/>
    <x v="23"/>
    <x v="1"/>
    <x v="1"/>
    <x v="0"/>
    <x v="791"/>
    <x v="3"/>
    <x v="2"/>
    <x v="818"/>
    <x v="11"/>
    <x v="1"/>
  </r>
  <r>
    <x v="848"/>
    <x v="16"/>
    <x v="0"/>
    <x v="1"/>
    <x v="1"/>
    <x v="792"/>
    <x v="0"/>
    <x v="0"/>
    <x v="819"/>
    <x v="6"/>
    <x v="0"/>
  </r>
  <r>
    <x v="849"/>
    <x v="29"/>
    <x v="1"/>
    <x v="1"/>
    <x v="2"/>
    <x v="793"/>
    <x v="0"/>
    <x v="0"/>
    <x v="820"/>
    <x v="1"/>
    <x v="1"/>
  </r>
  <r>
    <x v="850"/>
    <x v="7"/>
    <x v="0"/>
    <x v="0"/>
    <x v="1"/>
    <x v="794"/>
    <x v="0"/>
    <x v="0"/>
    <x v="821"/>
    <x v="3"/>
    <x v="0"/>
  </r>
  <r>
    <x v="851"/>
    <x v="3"/>
    <x v="1"/>
    <x v="2"/>
    <x v="0"/>
    <x v="795"/>
    <x v="0"/>
    <x v="0"/>
    <x v="822"/>
    <x v="5"/>
    <x v="1"/>
  </r>
  <r>
    <x v="852"/>
    <x v="37"/>
    <x v="0"/>
    <x v="0"/>
    <x v="0"/>
    <x v="796"/>
    <x v="2"/>
    <x v="1"/>
    <x v="823"/>
    <x v="1"/>
    <x v="1"/>
  </r>
  <r>
    <x v="853"/>
    <x v="0"/>
    <x v="1"/>
    <x v="2"/>
    <x v="0"/>
    <x v="797"/>
    <x v="0"/>
    <x v="0"/>
    <x v="824"/>
    <x v="6"/>
    <x v="1"/>
  </r>
  <r>
    <x v="854"/>
    <x v="44"/>
    <x v="0"/>
    <x v="2"/>
    <x v="0"/>
    <x v="798"/>
    <x v="1"/>
    <x v="3"/>
    <x v="825"/>
    <x v="6"/>
    <x v="0"/>
  </r>
  <r>
    <x v="855"/>
    <x v="18"/>
    <x v="1"/>
    <x v="0"/>
    <x v="0"/>
    <x v="799"/>
    <x v="0"/>
    <x v="2"/>
    <x v="826"/>
    <x v="1"/>
    <x v="1"/>
  </r>
  <r>
    <x v="856"/>
    <x v="8"/>
    <x v="0"/>
    <x v="0"/>
    <x v="0"/>
    <x v="800"/>
    <x v="0"/>
    <x v="0"/>
    <x v="827"/>
    <x v="11"/>
    <x v="0"/>
  </r>
  <r>
    <x v="857"/>
    <x v="37"/>
    <x v="0"/>
    <x v="0"/>
    <x v="1"/>
    <x v="341"/>
    <x v="2"/>
    <x v="1"/>
    <x v="828"/>
    <x v="1"/>
    <x v="1"/>
  </r>
  <r>
    <x v="858"/>
    <x v="11"/>
    <x v="0"/>
    <x v="1"/>
    <x v="0"/>
    <x v="801"/>
    <x v="2"/>
    <x v="0"/>
    <x v="829"/>
    <x v="22"/>
    <x v="0"/>
  </r>
  <r>
    <x v="859"/>
    <x v="13"/>
    <x v="1"/>
    <x v="0"/>
    <x v="0"/>
    <x v="802"/>
    <x v="3"/>
    <x v="2"/>
    <x v="830"/>
    <x v="0"/>
    <x v="1"/>
  </r>
  <r>
    <x v="860"/>
    <x v="18"/>
    <x v="1"/>
    <x v="0"/>
    <x v="0"/>
    <x v="803"/>
    <x v="0"/>
    <x v="2"/>
    <x v="765"/>
    <x v="2"/>
    <x v="1"/>
  </r>
  <r>
    <x v="861"/>
    <x v="26"/>
    <x v="1"/>
    <x v="0"/>
    <x v="0"/>
    <x v="804"/>
    <x v="2"/>
    <x v="2"/>
    <x v="831"/>
    <x v="6"/>
    <x v="1"/>
  </r>
  <r>
    <x v="862"/>
    <x v="13"/>
    <x v="1"/>
    <x v="0"/>
    <x v="1"/>
    <x v="805"/>
    <x v="0"/>
    <x v="0"/>
    <x v="832"/>
    <x v="16"/>
    <x v="1"/>
  </r>
  <r>
    <x v="863"/>
    <x v="2"/>
    <x v="1"/>
    <x v="0"/>
    <x v="2"/>
    <x v="806"/>
    <x v="1"/>
    <x v="3"/>
    <x v="833"/>
    <x v="1"/>
    <x v="1"/>
  </r>
  <r>
    <x v="864"/>
    <x v="8"/>
    <x v="1"/>
    <x v="0"/>
    <x v="0"/>
    <x v="807"/>
    <x v="0"/>
    <x v="2"/>
    <x v="834"/>
    <x v="6"/>
    <x v="1"/>
  </r>
  <r>
    <x v="865"/>
    <x v="35"/>
    <x v="1"/>
    <x v="1"/>
    <x v="0"/>
    <x v="808"/>
    <x v="0"/>
    <x v="2"/>
    <x v="835"/>
    <x v="1"/>
    <x v="0"/>
  </r>
  <r>
    <x v="866"/>
    <x v="2"/>
    <x v="1"/>
    <x v="0"/>
    <x v="0"/>
    <x v="809"/>
    <x v="0"/>
    <x v="2"/>
    <x v="836"/>
    <x v="1"/>
    <x v="1"/>
  </r>
  <r>
    <x v="867"/>
    <x v="8"/>
    <x v="0"/>
    <x v="1"/>
    <x v="0"/>
    <x v="810"/>
    <x v="0"/>
    <x v="1"/>
    <x v="837"/>
    <x v="5"/>
    <x v="0"/>
  </r>
  <r>
    <x v="868"/>
    <x v="44"/>
    <x v="0"/>
    <x v="0"/>
    <x v="0"/>
    <x v="811"/>
    <x v="0"/>
    <x v="2"/>
    <x v="838"/>
    <x v="3"/>
    <x v="0"/>
  </r>
  <r>
    <x v="869"/>
    <x v="1"/>
    <x v="1"/>
    <x v="0"/>
    <x v="2"/>
    <x v="812"/>
    <x v="0"/>
    <x v="0"/>
    <x v="839"/>
    <x v="0"/>
    <x v="0"/>
  </r>
  <r>
    <x v="870"/>
    <x v="26"/>
    <x v="1"/>
    <x v="0"/>
    <x v="0"/>
    <x v="813"/>
    <x v="3"/>
    <x v="3"/>
    <x v="793"/>
    <x v="25"/>
    <x v="1"/>
  </r>
  <r>
    <x v="871"/>
    <x v="35"/>
    <x v="1"/>
    <x v="2"/>
    <x v="0"/>
    <x v="163"/>
    <x v="0"/>
    <x v="2"/>
    <x v="840"/>
    <x v="6"/>
    <x v="1"/>
  </r>
  <r>
    <x v="872"/>
    <x v="1"/>
    <x v="0"/>
    <x v="0"/>
    <x v="0"/>
    <x v="814"/>
    <x v="0"/>
    <x v="0"/>
    <x v="841"/>
    <x v="6"/>
    <x v="1"/>
  </r>
  <r>
    <x v="873"/>
    <x v="16"/>
    <x v="0"/>
    <x v="0"/>
    <x v="0"/>
    <x v="815"/>
    <x v="0"/>
    <x v="0"/>
    <x v="842"/>
    <x v="1"/>
    <x v="0"/>
  </r>
  <r>
    <x v="874"/>
    <x v="0"/>
    <x v="1"/>
    <x v="0"/>
    <x v="0"/>
    <x v="347"/>
    <x v="0"/>
    <x v="0"/>
    <x v="843"/>
    <x v="6"/>
    <x v="0"/>
  </r>
  <r>
    <x v="875"/>
    <x v="3"/>
    <x v="1"/>
    <x v="0"/>
    <x v="0"/>
    <x v="816"/>
    <x v="0"/>
    <x v="2"/>
    <x v="757"/>
    <x v="6"/>
    <x v="1"/>
  </r>
  <r>
    <x v="876"/>
    <x v="2"/>
    <x v="1"/>
    <x v="0"/>
    <x v="0"/>
    <x v="444"/>
    <x v="2"/>
    <x v="2"/>
    <x v="553"/>
    <x v="1"/>
    <x v="1"/>
  </r>
  <r>
    <x v="877"/>
    <x v="59"/>
    <x v="1"/>
    <x v="0"/>
    <x v="0"/>
    <x v="817"/>
    <x v="3"/>
    <x v="2"/>
    <x v="844"/>
    <x v="4"/>
    <x v="1"/>
  </r>
  <r>
    <x v="878"/>
    <x v="14"/>
    <x v="1"/>
    <x v="0"/>
    <x v="0"/>
    <x v="660"/>
    <x v="1"/>
    <x v="3"/>
    <x v="845"/>
    <x v="1"/>
    <x v="1"/>
  </r>
  <r>
    <x v="879"/>
    <x v="1"/>
    <x v="1"/>
    <x v="0"/>
    <x v="0"/>
    <x v="818"/>
    <x v="2"/>
    <x v="1"/>
    <x v="289"/>
    <x v="6"/>
    <x v="1"/>
  </r>
  <r>
    <x v="880"/>
    <x v="7"/>
    <x v="1"/>
    <x v="2"/>
    <x v="0"/>
    <x v="819"/>
    <x v="0"/>
    <x v="2"/>
    <x v="846"/>
    <x v="2"/>
    <x v="1"/>
  </r>
  <r>
    <x v="881"/>
    <x v="49"/>
    <x v="0"/>
    <x v="2"/>
    <x v="0"/>
    <x v="820"/>
    <x v="2"/>
    <x v="1"/>
    <x v="847"/>
    <x v="1"/>
    <x v="1"/>
  </r>
  <r>
    <x v="882"/>
    <x v="5"/>
    <x v="0"/>
    <x v="0"/>
    <x v="2"/>
    <x v="821"/>
    <x v="1"/>
    <x v="1"/>
    <x v="848"/>
    <x v="1"/>
    <x v="1"/>
  </r>
  <r>
    <x v="883"/>
    <x v="6"/>
    <x v="0"/>
    <x v="0"/>
    <x v="0"/>
    <x v="822"/>
    <x v="0"/>
    <x v="0"/>
    <x v="849"/>
    <x v="7"/>
    <x v="0"/>
  </r>
  <r>
    <x v="884"/>
    <x v="38"/>
    <x v="1"/>
    <x v="1"/>
    <x v="2"/>
    <x v="823"/>
    <x v="0"/>
    <x v="0"/>
    <x v="850"/>
    <x v="18"/>
    <x v="1"/>
  </r>
  <r>
    <x v="885"/>
    <x v="24"/>
    <x v="0"/>
    <x v="0"/>
    <x v="2"/>
    <x v="824"/>
    <x v="1"/>
    <x v="3"/>
    <x v="851"/>
    <x v="0"/>
    <x v="0"/>
  </r>
  <r>
    <x v="886"/>
    <x v="41"/>
    <x v="0"/>
    <x v="1"/>
    <x v="2"/>
    <x v="155"/>
    <x v="0"/>
    <x v="1"/>
    <x v="852"/>
    <x v="1"/>
    <x v="0"/>
  </r>
  <r>
    <x v="887"/>
    <x v="18"/>
    <x v="1"/>
    <x v="0"/>
    <x v="0"/>
    <x v="825"/>
    <x v="0"/>
    <x v="3"/>
    <x v="853"/>
    <x v="18"/>
    <x v="1"/>
  </r>
  <r>
    <x v="888"/>
    <x v="1"/>
    <x v="1"/>
    <x v="1"/>
    <x v="0"/>
    <x v="826"/>
    <x v="3"/>
    <x v="2"/>
    <x v="680"/>
    <x v="10"/>
    <x v="1"/>
  </r>
  <r>
    <x v="889"/>
    <x v="41"/>
    <x v="1"/>
    <x v="2"/>
    <x v="0"/>
    <x v="557"/>
    <x v="0"/>
    <x v="3"/>
    <x v="854"/>
    <x v="5"/>
    <x v="1"/>
  </r>
  <r>
    <x v="890"/>
    <x v="7"/>
    <x v="0"/>
    <x v="0"/>
    <x v="1"/>
    <x v="827"/>
    <x v="2"/>
    <x v="0"/>
    <x v="855"/>
    <x v="9"/>
    <x v="1"/>
  </r>
  <r>
    <x v="891"/>
    <x v="37"/>
    <x v="0"/>
    <x v="0"/>
    <x v="1"/>
    <x v="722"/>
    <x v="3"/>
    <x v="1"/>
    <x v="856"/>
    <x v="6"/>
    <x v="1"/>
  </r>
  <r>
    <x v="892"/>
    <x v="2"/>
    <x v="1"/>
    <x v="0"/>
    <x v="2"/>
    <x v="828"/>
    <x v="0"/>
    <x v="0"/>
    <x v="857"/>
    <x v="11"/>
    <x v="0"/>
  </r>
  <r>
    <x v="893"/>
    <x v="29"/>
    <x v="0"/>
    <x v="0"/>
    <x v="1"/>
    <x v="829"/>
    <x v="2"/>
    <x v="2"/>
    <x v="858"/>
    <x v="9"/>
    <x v="1"/>
  </r>
  <r>
    <x v="894"/>
    <x v="41"/>
    <x v="1"/>
    <x v="0"/>
    <x v="0"/>
    <x v="830"/>
    <x v="0"/>
    <x v="0"/>
    <x v="859"/>
    <x v="0"/>
    <x v="1"/>
  </r>
  <r>
    <x v="895"/>
    <x v="19"/>
    <x v="0"/>
    <x v="0"/>
    <x v="0"/>
    <x v="831"/>
    <x v="2"/>
    <x v="0"/>
    <x v="860"/>
    <x v="1"/>
    <x v="0"/>
  </r>
  <r>
    <x v="896"/>
    <x v="24"/>
    <x v="1"/>
    <x v="2"/>
    <x v="0"/>
    <x v="674"/>
    <x v="0"/>
    <x v="0"/>
    <x v="861"/>
    <x v="4"/>
    <x v="1"/>
  </r>
  <r>
    <x v="897"/>
    <x v="31"/>
    <x v="0"/>
    <x v="0"/>
    <x v="0"/>
    <x v="330"/>
    <x v="0"/>
    <x v="0"/>
    <x v="862"/>
    <x v="4"/>
    <x v="1"/>
  </r>
  <r>
    <x v="898"/>
    <x v="7"/>
    <x v="1"/>
    <x v="0"/>
    <x v="1"/>
    <x v="832"/>
    <x v="0"/>
    <x v="1"/>
    <x v="863"/>
    <x v="7"/>
    <x v="0"/>
  </r>
  <r>
    <x v="899"/>
    <x v="2"/>
    <x v="1"/>
    <x v="1"/>
    <x v="0"/>
    <x v="833"/>
    <x v="0"/>
    <x v="0"/>
    <x v="864"/>
    <x v="3"/>
    <x v="1"/>
  </r>
  <r>
    <x v="900"/>
    <x v="8"/>
    <x v="0"/>
    <x v="0"/>
    <x v="0"/>
    <x v="834"/>
    <x v="0"/>
    <x v="2"/>
    <x v="865"/>
    <x v="3"/>
    <x v="1"/>
  </r>
  <r>
    <x v="901"/>
    <x v="19"/>
    <x v="1"/>
    <x v="0"/>
    <x v="0"/>
    <x v="835"/>
    <x v="0"/>
    <x v="2"/>
    <x v="866"/>
    <x v="6"/>
    <x v="1"/>
  </r>
  <r>
    <x v="902"/>
    <x v="19"/>
    <x v="0"/>
    <x v="0"/>
    <x v="2"/>
    <x v="836"/>
    <x v="1"/>
    <x v="2"/>
    <x v="867"/>
    <x v="0"/>
    <x v="0"/>
  </r>
  <r>
    <x v="903"/>
    <x v="12"/>
    <x v="1"/>
    <x v="0"/>
    <x v="0"/>
    <x v="837"/>
    <x v="0"/>
    <x v="2"/>
    <x v="868"/>
    <x v="14"/>
    <x v="1"/>
  </r>
  <r>
    <x v="904"/>
    <x v="18"/>
    <x v="1"/>
    <x v="1"/>
    <x v="0"/>
    <x v="838"/>
    <x v="0"/>
    <x v="3"/>
    <x v="869"/>
    <x v="3"/>
    <x v="1"/>
  </r>
  <r>
    <x v="905"/>
    <x v="2"/>
    <x v="0"/>
    <x v="0"/>
    <x v="0"/>
    <x v="839"/>
    <x v="0"/>
    <x v="3"/>
    <x v="870"/>
    <x v="14"/>
    <x v="1"/>
  </r>
  <r>
    <x v="906"/>
    <x v="7"/>
    <x v="1"/>
    <x v="0"/>
    <x v="0"/>
    <x v="840"/>
    <x v="1"/>
    <x v="2"/>
    <x v="871"/>
    <x v="1"/>
    <x v="1"/>
  </r>
  <r>
    <x v="907"/>
    <x v="24"/>
    <x v="1"/>
    <x v="0"/>
    <x v="1"/>
    <x v="841"/>
    <x v="0"/>
    <x v="2"/>
    <x v="123"/>
    <x v="6"/>
    <x v="1"/>
  </r>
  <r>
    <x v="908"/>
    <x v="0"/>
    <x v="0"/>
    <x v="1"/>
    <x v="0"/>
    <x v="842"/>
    <x v="0"/>
    <x v="1"/>
    <x v="872"/>
    <x v="6"/>
    <x v="0"/>
  </r>
  <r>
    <x v="909"/>
    <x v="18"/>
    <x v="1"/>
    <x v="0"/>
    <x v="0"/>
    <x v="843"/>
    <x v="2"/>
    <x v="2"/>
    <x v="873"/>
    <x v="5"/>
    <x v="1"/>
  </r>
  <r>
    <x v="910"/>
    <x v="0"/>
    <x v="0"/>
    <x v="1"/>
    <x v="0"/>
    <x v="844"/>
    <x v="0"/>
    <x v="2"/>
    <x v="874"/>
    <x v="0"/>
    <x v="0"/>
  </r>
  <r>
    <x v="911"/>
    <x v="1"/>
    <x v="1"/>
    <x v="1"/>
    <x v="2"/>
    <x v="845"/>
    <x v="2"/>
    <x v="1"/>
    <x v="875"/>
    <x v="0"/>
    <x v="0"/>
  </r>
  <r>
    <x v="912"/>
    <x v="3"/>
    <x v="0"/>
    <x v="2"/>
    <x v="0"/>
    <x v="846"/>
    <x v="1"/>
    <x v="3"/>
    <x v="876"/>
    <x v="2"/>
    <x v="1"/>
  </r>
  <r>
    <x v="913"/>
    <x v="17"/>
    <x v="1"/>
    <x v="0"/>
    <x v="1"/>
    <x v="847"/>
    <x v="3"/>
    <x v="0"/>
    <x v="877"/>
    <x v="4"/>
    <x v="1"/>
  </r>
  <r>
    <x v="914"/>
    <x v="36"/>
    <x v="1"/>
    <x v="1"/>
    <x v="0"/>
    <x v="848"/>
    <x v="1"/>
    <x v="3"/>
    <x v="878"/>
    <x v="10"/>
    <x v="0"/>
  </r>
  <r>
    <x v="915"/>
    <x v="18"/>
    <x v="0"/>
    <x v="2"/>
    <x v="0"/>
    <x v="849"/>
    <x v="2"/>
    <x v="1"/>
    <x v="879"/>
    <x v="5"/>
    <x v="1"/>
  </r>
  <r>
    <x v="916"/>
    <x v="7"/>
    <x v="1"/>
    <x v="1"/>
    <x v="1"/>
    <x v="850"/>
    <x v="0"/>
    <x v="2"/>
    <x v="880"/>
    <x v="11"/>
    <x v="0"/>
  </r>
  <r>
    <x v="917"/>
    <x v="29"/>
    <x v="1"/>
    <x v="0"/>
    <x v="1"/>
    <x v="472"/>
    <x v="0"/>
    <x v="2"/>
    <x v="881"/>
    <x v="4"/>
    <x v="1"/>
  </r>
  <r>
    <x v="918"/>
    <x v="29"/>
    <x v="1"/>
    <x v="1"/>
    <x v="2"/>
    <x v="851"/>
    <x v="1"/>
    <x v="0"/>
    <x v="882"/>
    <x v="11"/>
    <x v="0"/>
  </r>
  <r>
    <x v="919"/>
    <x v="3"/>
    <x v="1"/>
    <x v="0"/>
    <x v="0"/>
    <x v="852"/>
    <x v="1"/>
    <x v="0"/>
    <x v="883"/>
    <x v="10"/>
    <x v="1"/>
  </r>
  <r>
    <x v="920"/>
    <x v="0"/>
    <x v="0"/>
    <x v="0"/>
    <x v="0"/>
    <x v="853"/>
    <x v="2"/>
    <x v="1"/>
    <x v="884"/>
    <x v="6"/>
    <x v="0"/>
  </r>
  <r>
    <x v="921"/>
    <x v="34"/>
    <x v="0"/>
    <x v="2"/>
    <x v="2"/>
    <x v="854"/>
    <x v="0"/>
    <x v="2"/>
    <x v="885"/>
    <x v="6"/>
    <x v="1"/>
  </r>
  <r>
    <x v="922"/>
    <x v="17"/>
    <x v="1"/>
    <x v="0"/>
    <x v="0"/>
    <x v="855"/>
    <x v="3"/>
    <x v="2"/>
    <x v="886"/>
    <x v="1"/>
    <x v="1"/>
  </r>
  <r>
    <x v="923"/>
    <x v="12"/>
    <x v="0"/>
    <x v="0"/>
    <x v="1"/>
    <x v="856"/>
    <x v="0"/>
    <x v="0"/>
    <x v="887"/>
    <x v="2"/>
    <x v="1"/>
  </r>
  <r>
    <x v="924"/>
    <x v="11"/>
    <x v="0"/>
    <x v="0"/>
    <x v="0"/>
    <x v="857"/>
    <x v="0"/>
    <x v="3"/>
    <x v="888"/>
    <x v="1"/>
    <x v="1"/>
  </r>
  <r>
    <x v="925"/>
    <x v="8"/>
    <x v="1"/>
    <x v="0"/>
    <x v="0"/>
    <x v="199"/>
    <x v="3"/>
    <x v="2"/>
    <x v="889"/>
    <x v="16"/>
    <x v="1"/>
  </r>
  <r>
    <x v="926"/>
    <x v="26"/>
    <x v="1"/>
    <x v="0"/>
    <x v="0"/>
    <x v="858"/>
    <x v="2"/>
    <x v="1"/>
    <x v="890"/>
    <x v="7"/>
    <x v="1"/>
  </r>
  <r>
    <x v="927"/>
    <x v="28"/>
    <x v="1"/>
    <x v="0"/>
    <x v="2"/>
    <x v="859"/>
    <x v="0"/>
    <x v="1"/>
    <x v="891"/>
    <x v="9"/>
    <x v="1"/>
  </r>
  <r>
    <x v="928"/>
    <x v="44"/>
    <x v="0"/>
    <x v="1"/>
    <x v="1"/>
    <x v="141"/>
    <x v="1"/>
    <x v="1"/>
    <x v="892"/>
    <x v="8"/>
    <x v="0"/>
  </r>
  <r>
    <x v="929"/>
    <x v="14"/>
    <x v="0"/>
    <x v="0"/>
    <x v="0"/>
    <x v="860"/>
    <x v="0"/>
    <x v="2"/>
    <x v="536"/>
    <x v="6"/>
    <x v="1"/>
  </r>
  <r>
    <x v="930"/>
    <x v="13"/>
    <x v="1"/>
    <x v="0"/>
    <x v="0"/>
    <x v="53"/>
    <x v="3"/>
    <x v="2"/>
    <x v="757"/>
    <x v="2"/>
    <x v="1"/>
  </r>
  <r>
    <x v="931"/>
    <x v="37"/>
    <x v="1"/>
    <x v="0"/>
    <x v="2"/>
    <x v="861"/>
    <x v="1"/>
    <x v="0"/>
    <x v="893"/>
    <x v="3"/>
    <x v="0"/>
  </r>
  <r>
    <x v="932"/>
    <x v="18"/>
    <x v="1"/>
    <x v="0"/>
    <x v="0"/>
    <x v="862"/>
    <x v="0"/>
    <x v="2"/>
    <x v="894"/>
    <x v="5"/>
    <x v="1"/>
  </r>
  <r>
    <x v="933"/>
    <x v="17"/>
    <x v="1"/>
    <x v="0"/>
    <x v="2"/>
    <x v="863"/>
    <x v="2"/>
    <x v="0"/>
    <x v="895"/>
    <x v="11"/>
    <x v="0"/>
  </r>
  <r>
    <x v="934"/>
    <x v="27"/>
    <x v="0"/>
    <x v="2"/>
    <x v="0"/>
    <x v="470"/>
    <x v="0"/>
    <x v="1"/>
    <x v="896"/>
    <x v="3"/>
    <x v="1"/>
  </r>
  <r>
    <x v="935"/>
    <x v="39"/>
    <x v="0"/>
    <x v="0"/>
    <x v="0"/>
    <x v="407"/>
    <x v="0"/>
    <x v="2"/>
    <x v="897"/>
    <x v="3"/>
    <x v="0"/>
  </r>
  <r>
    <x v="936"/>
    <x v="19"/>
    <x v="0"/>
    <x v="0"/>
    <x v="0"/>
    <x v="864"/>
    <x v="0"/>
    <x v="2"/>
    <x v="898"/>
    <x v="1"/>
    <x v="1"/>
  </r>
  <r>
    <x v="937"/>
    <x v="12"/>
    <x v="1"/>
    <x v="0"/>
    <x v="1"/>
    <x v="865"/>
    <x v="2"/>
    <x v="2"/>
    <x v="899"/>
    <x v="6"/>
    <x v="1"/>
  </r>
  <r>
    <x v="938"/>
    <x v="26"/>
    <x v="0"/>
    <x v="2"/>
    <x v="0"/>
    <x v="866"/>
    <x v="0"/>
    <x v="0"/>
    <x v="900"/>
    <x v="32"/>
    <x v="1"/>
  </r>
  <r>
    <x v="939"/>
    <x v="1"/>
    <x v="0"/>
    <x v="0"/>
    <x v="1"/>
    <x v="867"/>
    <x v="0"/>
    <x v="0"/>
    <x v="901"/>
    <x v="11"/>
    <x v="0"/>
  </r>
  <r>
    <x v="940"/>
    <x v="2"/>
    <x v="1"/>
    <x v="0"/>
    <x v="1"/>
    <x v="868"/>
    <x v="0"/>
    <x v="3"/>
    <x v="902"/>
    <x v="6"/>
    <x v="1"/>
  </r>
  <r>
    <x v="941"/>
    <x v="24"/>
    <x v="1"/>
    <x v="0"/>
    <x v="0"/>
    <x v="869"/>
    <x v="0"/>
    <x v="3"/>
    <x v="903"/>
    <x v="3"/>
    <x v="1"/>
  </r>
  <r>
    <x v="942"/>
    <x v="18"/>
    <x v="1"/>
    <x v="0"/>
    <x v="0"/>
    <x v="870"/>
    <x v="0"/>
    <x v="3"/>
    <x v="904"/>
    <x v="1"/>
    <x v="1"/>
  </r>
  <r>
    <x v="943"/>
    <x v="12"/>
    <x v="0"/>
    <x v="0"/>
    <x v="0"/>
    <x v="871"/>
    <x v="0"/>
    <x v="2"/>
    <x v="905"/>
    <x v="4"/>
    <x v="0"/>
  </r>
  <r>
    <x v="944"/>
    <x v="14"/>
    <x v="1"/>
    <x v="0"/>
    <x v="0"/>
    <x v="872"/>
    <x v="0"/>
    <x v="0"/>
    <x v="906"/>
    <x v="6"/>
    <x v="0"/>
  </r>
  <r>
    <x v="945"/>
    <x v="34"/>
    <x v="0"/>
    <x v="2"/>
    <x v="0"/>
    <x v="873"/>
    <x v="3"/>
    <x v="1"/>
    <x v="515"/>
    <x v="1"/>
    <x v="1"/>
  </r>
  <r>
    <x v="946"/>
    <x v="49"/>
    <x v="1"/>
    <x v="0"/>
    <x v="2"/>
    <x v="874"/>
    <x v="2"/>
    <x v="2"/>
    <x v="907"/>
    <x v="1"/>
    <x v="1"/>
  </r>
  <r>
    <x v="947"/>
    <x v="0"/>
    <x v="1"/>
    <x v="0"/>
    <x v="0"/>
    <x v="875"/>
    <x v="0"/>
    <x v="0"/>
    <x v="908"/>
    <x v="21"/>
    <x v="0"/>
  </r>
  <r>
    <x v="948"/>
    <x v="0"/>
    <x v="1"/>
    <x v="0"/>
    <x v="0"/>
    <x v="876"/>
    <x v="2"/>
    <x v="1"/>
    <x v="909"/>
    <x v="6"/>
    <x v="0"/>
  </r>
  <r>
    <x v="949"/>
    <x v="41"/>
    <x v="1"/>
    <x v="0"/>
    <x v="0"/>
    <x v="877"/>
    <x v="2"/>
    <x v="2"/>
    <x v="910"/>
    <x v="11"/>
    <x v="1"/>
  </r>
  <r>
    <x v="950"/>
    <x v="4"/>
    <x v="1"/>
    <x v="0"/>
    <x v="0"/>
    <x v="878"/>
    <x v="2"/>
    <x v="1"/>
    <x v="911"/>
    <x v="1"/>
    <x v="1"/>
  </r>
  <r>
    <x v="951"/>
    <x v="13"/>
    <x v="1"/>
    <x v="0"/>
    <x v="0"/>
    <x v="381"/>
    <x v="0"/>
    <x v="0"/>
    <x v="912"/>
    <x v="2"/>
    <x v="1"/>
  </r>
  <r>
    <x v="952"/>
    <x v="13"/>
    <x v="1"/>
    <x v="1"/>
    <x v="2"/>
    <x v="879"/>
    <x v="0"/>
    <x v="0"/>
    <x v="913"/>
    <x v="3"/>
    <x v="1"/>
  </r>
  <r>
    <x v="953"/>
    <x v="13"/>
    <x v="1"/>
    <x v="0"/>
    <x v="0"/>
    <x v="880"/>
    <x v="3"/>
    <x v="1"/>
    <x v="212"/>
    <x v="1"/>
    <x v="1"/>
  </r>
  <r>
    <x v="954"/>
    <x v="1"/>
    <x v="1"/>
    <x v="0"/>
    <x v="0"/>
    <x v="881"/>
    <x v="0"/>
    <x v="0"/>
    <x v="914"/>
    <x v="6"/>
    <x v="1"/>
  </r>
  <r>
    <x v="955"/>
    <x v="8"/>
    <x v="1"/>
    <x v="0"/>
    <x v="0"/>
    <x v="882"/>
    <x v="0"/>
    <x v="2"/>
    <x v="915"/>
    <x v="0"/>
    <x v="1"/>
  </r>
  <r>
    <x v="956"/>
    <x v="8"/>
    <x v="1"/>
    <x v="1"/>
    <x v="2"/>
    <x v="883"/>
    <x v="1"/>
    <x v="0"/>
    <x v="916"/>
    <x v="11"/>
    <x v="0"/>
  </r>
  <r>
    <x v="957"/>
    <x v="40"/>
    <x v="0"/>
    <x v="1"/>
    <x v="2"/>
    <x v="884"/>
    <x v="0"/>
    <x v="3"/>
    <x v="917"/>
    <x v="14"/>
    <x v="0"/>
  </r>
  <r>
    <x v="958"/>
    <x v="13"/>
    <x v="1"/>
    <x v="1"/>
    <x v="0"/>
    <x v="885"/>
    <x v="0"/>
    <x v="2"/>
    <x v="918"/>
    <x v="7"/>
    <x v="1"/>
  </r>
  <r>
    <x v="959"/>
    <x v="12"/>
    <x v="1"/>
    <x v="0"/>
    <x v="0"/>
    <x v="886"/>
    <x v="0"/>
    <x v="2"/>
    <x v="919"/>
    <x v="3"/>
    <x v="0"/>
  </r>
  <r>
    <x v="960"/>
    <x v="4"/>
    <x v="1"/>
    <x v="0"/>
    <x v="0"/>
    <x v="887"/>
    <x v="3"/>
    <x v="2"/>
    <x v="391"/>
    <x v="1"/>
    <x v="1"/>
  </r>
  <r>
    <x v="961"/>
    <x v="36"/>
    <x v="1"/>
    <x v="1"/>
    <x v="0"/>
    <x v="888"/>
    <x v="0"/>
    <x v="0"/>
    <x v="891"/>
    <x v="6"/>
    <x v="0"/>
  </r>
  <r>
    <x v="962"/>
    <x v="54"/>
    <x v="1"/>
    <x v="2"/>
    <x v="1"/>
    <x v="889"/>
    <x v="2"/>
    <x v="3"/>
    <x v="920"/>
    <x v="7"/>
    <x v="0"/>
  </r>
  <r>
    <x v="963"/>
    <x v="23"/>
    <x v="1"/>
    <x v="0"/>
    <x v="1"/>
    <x v="890"/>
    <x v="2"/>
    <x v="2"/>
    <x v="921"/>
    <x v="2"/>
    <x v="1"/>
  </r>
  <r>
    <x v="964"/>
    <x v="39"/>
    <x v="0"/>
    <x v="0"/>
    <x v="1"/>
    <x v="891"/>
    <x v="1"/>
    <x v="0"/>
    <x v="750"/>
    <x v="3"/>
    <x v="0"/>
  </r>
  <r>
    <x v="965"/>
    <x v="7"/>
    <x v="1"/>
    <x v="0"/>
    <x v="0"/>
    <x v="892"/>
    <x v="3"/>
    <x v="2"/>
    <x v="922"/>
    <x v="1"/>
    <x v="1"/>
  </r>
  <r>
    <x v="966"/>
    <x v="7"/>
    <x v="1"/>
    <x v="2"/>
    <x v="0"/>
    <x v="893"/>
    <x v="0"/>
    <x v="0"/>
    <x v="923"/>
    <x v="6"/>
    <x v="1"/>
  </r>
  <r>
    <x v="967"/>
    <x v="2"/>
    <x v="1"/>
    <x v="0"/>
    <x v="0"/>
    <x v="894"/>
    <x v="0"/>
    <x v="2"/>
    <x v="429"/>
    <x v="6"/>
    <x v="1"/>
  </r>
  <r>
    <x v="968"/>
    <x v="29"/>
    <x v="1"/>
    <x v="0"/>
    <x v="0"/>
    <x v="895"/>
    <x v="0"/>
    <x v="2"/>
    <x v="434"/>
    <x v="1"/>
    <x v="1"/>
  </r>
  <r>
    <x v="969"/>
    <x v="26"/>
    <x v="1"/>
    <x v="0"/>
    <x v="0"/>
    <x v="896"/>
    <x v="2"/>
    <x v="1"/>
    <x v="924"/>
    <x v="2"/>
    <x v="1"/>
  </r>
  <r>
    <x v="970"/>
    <x v="9"/>
    <x v="0"/>
    <x v="0"/>
    <x v="0"/>
    <x v="897"/>
    <x v="0"/>
    <x v="3"/>
    <x v="925"/>
    <x v="4"/>
    <x v="1"/>
  </r>
  <r>
    <x v="971"/>
    <x v="2"/>
    <x v="1"/>
    <x v="1"/>
    <x v="0"/>
    <x v="898"/>
    <x v="0"/>
    <x v="0"/>
    <x v="926"/>
    <x v="1"/>
    <x v="0"/>
  </r>
  <r>
    <x v="972"/>
    <x v="2"/>
    <x v="1"/>
    <x v="1"/>
    <x v="0"/>
    <x v="657"/>
    <x v="0"/>
    <x v="0"/>
    <x v="927"/>
    <x v="0"/>
    <x v="1"/>
  </r>
  <r>
    <x v="973"/>
    <x v="15"/>
    <x v="1"/>
    <x v="0"/>
    <x v="0"/>
    <x v="899"/>
    <x v="0"/>
    <x v="0"/>
    <x v="928"/>
    <x v="22"/>
    <x v="0"/>
  </r>
  <r>
    <x v="974"/>
    <x v="54"/>
    <x v="1"/>
    <x v="0"/>
    <x v="0"/>
    <x v="900"/>
    <x v="3"/>
    <x v="2"/>
    <x v="929"/>
    <x v="5"/>
    <x v="1"/>
  </r>
  <r>
    <x v="975"/>
    <x v="47"/>
    <x v="1"/>
    <x v="1"/>
    <x v="0"/>
    <x v="901"/>
    <x v="0"/>
    <x v="2"/>
    <x v="930"/>
    <x v="1"/>
    <x v="0"/>
  </r>
  <r>
    <x v="976"/>
    <x v="12"/>
    <x v="0"/>
    <x v="1"/>
    <x v="0"/>
    <x v="902"/>
    <x v="1"/>
    <x v="0"/>
    <x v="735"/>
    <x v="1"/>
    <x v="0"/>
  </r>
  <r>
    <x v="977"/>
    <x v="3"/>
    <x v="1"/>
    <x v="0"/>
    <x v="0"/>
    <x v="903"/>
    <x v="1"/>
    <x v="0"/>
    <x v="931"/>
    <x v="0"/>
    <x v="0"/>
  </r>
  <r>
    <x v="978"/>
    <x v="35"/>
    <x v="1"/>
    <x v="2"/>
    <x v="0"/>
    <x v="904"/>
    <x v="0"/>
    <x v="2"/>
    <x v="932"/>
    <x v="6"/>
    <x v="1"/>
  </r>
  <r>
    <x v="979"/>
    <x v="1"/>
    <x v="1"/>
    <x v="1"/>
    <x v="0"/>
    <x v="905"/>
    <x v="2"/>
    <x v="2"/>
    <x v="933"/>
    <x v="0"/>
    <x v="1"/>
  </r>
  <r>
    <x v="980"/>
    <x v="26"/>
    <x v="0"/>
    <x v="1"/>
    <x v="0"/>
    <x v="906"/>
    <x v="0"/>
    <x v="2"/>
    <x v="434"/>
    <x v="16"/>
    <x v="1"/>
  </r>
  <r>
    <x v="981"/>
    <x v="25"/>
    <x v="1"/>
    <x v="0"/>
    <x v="2"/>
    <x v="907"/>
    <x v="0"/>
    <x v="2"/>
    <x v="934"/>
    <x v="1"/>
    <x v="1"/>
  </r>
  <r>
    <x v="982"/>
    <x v="8"/>
    <x v="1"/>
    <x v="0"/>
    <x v="0"/>
    <x v="908"/>
    <x v="0"/>
    <x v="2"/>
    <x v="935"/>
    <x v="1"/>
    <x v="1"/>
  </r>
  <r>
    <x v="983"/>
    <x v="2"/>
    <x v="1"/>
    <x v="1"/>
    <x v="1"/>
    <x v="909"/>
    <x v="1"/>
    <x v="2"/>
    <x v="936"/>
    <x v="3"/>
    <x v="0"/>
  </r>
  <r>
    <x v="984"/>
    <x v="4"/>
    <x v="0"/>
    <x v="0"/>
    <x v="0"/>
    <x v="910"/>
    <x v="0"/>
    <x v="2"/>
    <x v="937"/>
    <x v="6"/>
    <x v="1"/>
  </r>
  <r>
    <x v="985"/>
    <x v="32"/>
    <x v="1"/>
    <x v="0"/>
    <x v="2"/>
    <x v="911"/>
    <x v="3"/>
    <x v="2"/>
    <x v="938"/>
    <x v="9"/>
    <x v="1"/>
  </r>
  <r>
    <x v="986"/>
    <x v="7"/>
    <x v="0"/>
    <x v="0"/>
    <x v="0"/>
    <x v="912"/>
    <x v="0"/>
    <x v="2"/>
    <x v="173"/>
    <x v="5"/>
    <x v="1"/>
  </r>
  <r>
    <x v="987"/>
    <x v="14"/>
    <x v="0"/>
    <x v="1"/>
    <x v="0"/>
    <x v="913"/>
    <x v="0"/>
    <x v="2"/>
    <x v="939"/>
    <x v="1"/>
    <x v="0"/>
  </r>
  <r>
    <x v="988"/>
    <x v="29"/>
    <x v="1"/>
    <x v="0"/>
    <x v="0"/>
    <x v="914"/>
    <x v="0"/>
    <x v="0"/>
    <x v="940"/>
    <x v="3"/>
    <x v="1"/>
  </r>
  <r>
    <x v="989"/>
    <x v="26"/>
    <x v="1"/>
    <x v="0"/>
    <x v="0"/>
    <x v="915"/>
    <x v="2"/>
    <x v="2"/>
    <x v="941"/>
    <x v="2"/>
    <x v="1"/>
  </r>
  <r>
    <x v="990"/>
    <x v="12"/>
    <x v="0"/>
    <x v="2"/>
    <x v="0"/>
    <x v="312"/>
    <x v="1"/>
    <x v="3"/>
    <x v="942"/>
    <x v="4"/>
    <x v="0"/>
  </r>
  <r>
    <x v="991"/>
    <x v="19"/>
    <x v="0"/>
    <x v="1"/>
    <x v="0"/>
    <x v="231"/>
    <x v="0"/>
    <x v="2"/>
    <x v="943"/>
    <x v="6"/>
    <x v="1"/>
  </r>
  <r>
    <x v="992"/>
    <x v="0"/>
    <x v="1"/>
    <x v="1"/>
    <x v="0"/>
    <x v="916"/>
    <x v="0"/>
    <x v="3"/>
    <x v="944"/>
    <x v="6"/>
    <x v="0"/>
  </r>
  <r>
    <x v="993"/>
    <x v="12"/>
    <x v="1"/>
    <x v="0"/>
    <x v="1"/>
    <x v="917"/>
    <x v="0"/>
    <x v="1"/>
    <x v="945"/>
    <x v="2"/>
    <x v="1"/>
  </r>
  <r>
    <x v="994"/>
    <x v="0"/>
    <x v="1"/>
    <x v="0"/>
    <x v="0"/>
    <x v="918"/>
    <x v="0"/>
    <x v="2"/>
    <x v="946"/>
    <x v="22"/>
    <x v="1"/>
  </r>
  <r>
    <x v="995"/>
    <x v="8"/>
    <x v="0"/>
    <x v="0"/>
    <x v="0"/>
    <x v="168"/>
    <x v="0"/>
    <x v="3"/>
    <x v="947"/>
    <x v="10"/>
    <x v="1"/>
  </r>
  <r>
    <x v="996"/>
    <x v="24"/>
    <x v="1"/>
    <x v="2"/>
    <x v="1"/>
    <x v="919"/>
    <x v="1"/>
    <x v="2"/>
    <x v="948"/>
    <x v="1"/>
    <x v="1"/>
  </r>
  <r>
    <x v="997"/>
    <x v="7"/>
    <x v="1"/>
    <x v="0"/>
    <x v="0"/>
    <x v="920"/>
    <x v="0"/>
    <x v="0"/>
    <x v="949"/>
    <x v="6"/>
    <x v="1"/>
  </r>
  <r>
    <x v="998"/>
    <x v="36"/>
    <x v="0"/>
    <x v="0"/>
    <x v="0"/>
    <x v="921"/>
    <x v="2"/>
    <x v="2"/>
    <x v="950"/>
    <x v="3"/>
    <x v="0"/>
  </r>
  <r>
    <x v="999"/>
    <x v="40"/>
    <x v="1"/>
    <x v="0"/>
    <x v="0"/>
    <x v="180"/>
    <x v="0"/>
    <x v="0"/>
    <x v="951"/>
    <x v="3"/>
    <x v="0"/>
  </r>
  <r>
    <x v="1000"/>
    <x v="11"/>
    <x v="1"/>
    <x v="0"/>
    <x v="1"/>
    <x v="922"/>
    <x v="2"/>
    <x v="1"/>
    <x v="698"/>
    <x v="1"/>
    <x v="1"/>
  </r>
  <r>
    <x v="1001"/>
    <x v="28"/>
    <x v="1"/>
    <x v="2"/>
    <x v="0"/>
    <x v="923"/>
    <x v="0"/>
    <x v="2"/>
    <x v="952"/>
    <x v="6"/>
    <x v="1"/>
  </r>
  <r>
    <x v="1002"/>
    <x v="6"/>
    <x v="0"/>
    <x v="0"/>
    <x v="0"/>
    <x v="318"/>
    <x v="0"/>
    <x v="0"/>
    <x v="953"/>
    <x v="6"/>
    <x v="1"/>
  </r>
  <r>
    <x v="1003"/>
    <x v="49"/>
    <x v="0"/>
    <x v="2"/>
    <x v="1"/>
    <x v="924"/>
    <x v="0"/>
    <x v="3"/>
    <x v="954"/>
    <x v="3"/>
    <x v="1"/>
  </r>
  <r>
    <x v="1004"/>
    <x v="36"/>
    <x v="1"/>
    <x v="1"/>
    <x v="2"/>
    <x v="925"/>
    <x v="2"/>
    <x v="2"/>
    <x v="955"/>
    <x v="7"/>
    <x v="0"/>
  </r>
  <r>
    <x v="1005"/>
    <x v="28"/>
    <x v="1"/>
    <x v="0"/>
    <x v="0"/>
    <x v="926"/>
    <x v="2"/>
    <x v="2"/>
    <x v="956"/>
    <x v="10"/>
    <x v="1"/>
  </r>
  <r>
    <x v="1006"/>
    <x v="36"/>
    <x v="1"/>
    <x v="1"/>
    <x v="0"/>
    <x v="927"/>
    <x v="2"/>
    <x v="0"/>
    <x v="957"/>
    <x v="1"/>
    <x v="0"/>
  </r>
  <r>
    <x v="1007"/>
    <x v="32"/>
    <x v="0"/>
    <x v="2"/>
    <x v="0"/>
    <x v="189"/>
    <x v="0"/>
    <x v="1"/>
    <x v="958"/>
    <x v="6"/>
    <x v="1"/>
  </r>
  <r>
    <x v="1008"/>
    <x v="8"/>
    <x v="0"/>
    <x v="1"/>
    <x v="0"/>
    <x v="127"/>
    <x v="0"/>
    <x v="0"/>
    <x v="959"/>
    <x v="0"/>
    <x v="0"/>
  </r>
  <r>
    <x v="1009"/>
    <x v="31"/>
    <x v="0"/>
    <x v="2"/>
    <x v="0"/>
    <x v="928"/>
    <x v="3"/>
    <x v="0"/>
    <x v="960"/>
    <x v="4"/>
    <x v="1"/>
  </r>
  <r>
    <x v="1010"/>
    <x v="50"/>
    <x v="1"/>
    <x v="0"/>
    <x v="0"/>
    <x v="929"/>
    <x v="0"/>
    <x v="0"/>
    <x v="335"/>
    <x v="5"/>
    <x v="1"/>
  </r>
  <r>
    <x v="1011"/>
    <x v="49"/>
    <x v="1"/>
    <x v="0"/>
    <x v="0"/>
    <x v="930"/>
    <x v="0"/>
    <x v="2"/>
    <x v="961"/>
    <x v="5"/>
    <x v="1"/>
  </r>
  <r>
    <x v="1012"/>
    <x v="0"/>
    <x v="1"/>
    <x v="0"/>
    <x v="1"/>
    <x v="931"/>
    <x v="0"/>
    <x v="3"/>
    <x v="962"/>
    <x v="3"/>
    <x v="1"/>
  </r>
  <r>
    <x v="1013"/>
    <x v="36"/>
    <x v="1"/>
    <x v="0"/>
    <x v="0"/>
    <x v="932"/>
    <x v="0"/>
    <x v="3"/>
    <x v="963"/>
    <x v="3"/>
    <x v="0"/>
  </r>
  <r>
    <x v="1014"/>
    <x v="7"/>
    <x v="0"/>
    <x v="0"/>
    <x v="0"/>
    <x v="933"/>
    <x v="0"/>
    <x v="2"/>
    <x v="964"/>
    <x v="11"/>
    <x v="1"/>
  </r>
  <r>
    <x v="1015"/>
    <x v="49"/>
    <x v="1"/>
    <x v="2"/>
    <x v="0"/>
    <x v="934"/>
    <x v="0"/>
    <x v="3"/>
    <x v="129"/>
    <x v="1"/>
    <x v="1"/>
  </r>
  <r>
    <x v="1016"/>
    <x v="14"/>
    <x v="1"/>
    <x v="0"/>
    <x v="0"/>
    <x v="935"/>
    <x v="0"/>
    <x v="2"/>
    <x v="965"/>
    <x v="23"/>
    <x v="1"/>
  </r>
  <r>
    <x v="1017"/>
    <x v="12"/>
    <x v="0"/>
    <x v="0"/>
    <x v="0"/>
    <x v="936"/>
    <x v="0"/>
    <x v="1"/>
    <x v="966"/>
    <x v="1"/>
    <x v="1"/>
  </r>
  <r>
    <x v="1018"/>
    <x v="7"/>
    <x v="0"/>
    <x v="0"/>
    <x v="0"/>
    <x v="896"/>
    <x v="2"/>
    <x v="1"/>
    <x v="967"/>
    <x v="10"/>
    <x v="1"/>
  </r>
  <r>
    <x v="1019"/>
    <x v="20"/>
    <x v="1"/>
    <x v="1"/>
    <x v="0"/>
    <x v="937"/>
    <x v="1"/>
    <x v="0"/>
    <x v="968"/>
    <x v="10"/>
    <x v="0"/>
  </r>
  <r>
    <x v="1020"/>
    <x v="13"/>
    <x v="1"/>
    <x v="1"/>
    <x v="2"/>
    <x v="938"/>
    <x v="0"/>
    <x v="0"/>
    <x v="472"/>
    <x v="3"/>
    <x v="1"/>
  </r>
  <r>
    <x v="1021"/>
    <x v="8"/>
    <x v="1"/>
    <x v="1"/>
    <x v="2"/>
    <x v="939"/>
    <x v="0"/>
    <x v="0"/>
    <x v="969"/>
    <x v="21"/>
    <x v="0"/>
  </r>
  <r>
    <x v="1022"/>
    <x v="6"/>
    <x v="1"/>
    <x v="0"/>
    <x v="2"/>
    <x v="247"/>
    <x v="1"/>
    <x v="0"/>
    <x v="970"/>
    <x v="6"/>
    <x v="0"/>
  </r>
  <r>
    <x v="1023"/>
    <x v="2"/>
    <x v="1"/>
    <x v="0"/>
    <x v="0"/>
    <x v="940"/>
    <x v="0"/>
    <x v="0"/>
    <x v="971"/>
    <x v="10"/>
    <x v="1"/>
  </r>
  <r>
    <x v="1024"/>
    <x v="10"/>
    <x v="0"/>
    <x v="0"/>
    <x v="0"/>
    <x v="941"/>
    <x v="1"/>
    <x v="2"/>
    <x v="972"/>
    <x v="2"/>
    <x v="1"/>
  </r>
  <r>
    <x v="1025"/>
    <x v="7"/>
    <x v="1"/>
    <x v="0"/>
    <x v="0"/>
    <x v="942"/>
    <x v="3"/>
    <x v="3"/>
    <x v="973"/>
    <x v="2"/>
    <x v="1"/>
  </r>
  <r>
    <x v="1026"/>
    <x v="18"/>
    <x v="0"/>
    <x v="1"/>
    <x v="0"/>
    <x v="943"/>
    <x v="1"/>
    <x v="0"/>
    <x v="974"/>
    <x v="0"/>
    <x v="0"/>
  </r>
  <r>
    <x v="1027"/>
    <x v="7"/>
    <x v="1"/>
    <x v="1"/>
    <x v="0"/>
    <x v="944"/>
    <x v="0"/>
    <x v="0"/>
    <x v="975"/>
    <x v="6"/>
    <x v="0"/>
  </r>
  <r>
    <x v="1028"/>
    <x v="45"/>
    <x v="1"/>
    <x v="1"/>
    <x v="0"/>
    <x v="945"/>
    <x v="0"/>
    <x v="0"/>
    <x v="976"/>
    <x v="21"/>
    <x v="1"/>
  </r>
  <r>
    <x v="1029"/>
    <x v="1"/>
    <x v="0"/>
    <x v="1"/>
    <x v="0"/>
    <x v="946"/>
    <x v="0"/>
    <x v="3"/>
    <x v="977"/>
    <x v="0"/>
    <x v="1"/>
  </r>
  <r>
    <x v="1030"/>
    <x v="12"/>
    <x v="1"/>
    <x v="0"/>
    <x v="0"/>
    <x v="653"/>
    <x v="2"/>
    <x v="2"/>
    <x v="978"/>
    <x v="9"/>
    <x v="1"/>
  </r>
  <r>
    <x v="1031"/>
    <x v="17"/>
    <x v="1"/>
    <x v="2"/>
    <x v="0"/>
    <x v="396"/>
    <x v="0"/>
    <x v="2"/>
    <x v="278"/>
    <x v="20"/>
    <x v="1"/>
  </r>
  <r>
    <x v="1032"/>
    <x v="20"/>
    <x v="1"/>
    <x v="1"/>
    <x v="0"/>
    <x v="947"/>
    <x v="1"/>
    <x v="0"/>
    <x v="979"/>
    <x v="6"/>
    <x v="0"/>
  </r>
  <r>
    <x v="1033"/>
    <x v="39"/>
    <x v="1"/>
    <x v="0"/>
    <x v="0"/>
    <x v="948"/>
    <x v="0"/>
    <x v="3"/>
    <x v="980"/>
    <x v="6"/>
    <x v="0"/>
  </r>
  <r>
    <x v="1034"/>
    <x v="10"/>
    <x v="0"/>
    <x v="0"/>
    <x v="1"/>
    <x v="949"/>
    <x v="2"/>
    <x v="0"/>
    <x v="981"/>
    <x v="6"/>
    <x v="1"/>
  </r>
  <r>
    <x v="1035"/>
    <x v="7"/>
    <x v="1"/>
    <x v="0"/>
    <x v="0"/>
    <x v="950"/>
    <x v="0"/>
    <x v="0"/>
    <x v="982"/>
    <x v="2"/>
    <x v="1"/>
  </r>
  <r>
    <x v="1036"/>
    <x v="11"/>
    <x v="1"/>
    <x v="0"/>
    <x v="0"/>
    <x v="237"/>
    <x v="0"/>
    <x v="0"/>
    <x v="983"/>
    <x v="0"/>
    <x v="0"/>
  </r>
  <r>
    <x v="1037"/>
    <x v="27"/>
    <x v="1"/>
    <x v="1"/>
    <x v="0"/>
    <x v="951"/>
    <x v="2"/>
    <x v="2"/>
    <x v="984"/>
    <x v="6"/>
    <x v="1"/>
  </r>
  <r>
    <x v="1038"/>
    <x v="1"/>
    <x v="0"/>
    <x v="0"/>
    <x v="0"/>
    <x v="602"/>
    <x v="0"/>
    <x v="2"/>
    <x v="985"/>
    <x v="3"/>
    <x v="1"/>
  </r>
  <r>
    <x v="1039"/>
    <x v="29"/>
    <x v="1"/>
    <x v="1"/>
    <x v="0"/>
    <x v="895"/>
    <x v="0"/>
    <x v="3"/>
    <x v="986"/>
    <x v="3"/>
    <x v="0"/>
  </r>
  <r>
    <x v="1040"/>
    <x v="44"/>
    <x v="1"/>
    <x v="1"/>
    <x v="0"/>
    <x v="952"/>
    <x v="2"/>
    <x v="2"/>
    <x v="987"/>
    <x v="5"/>
    <x v="0"/>
  </r>
  <r>
    <x v="1041"/>
    <x v="4"/>
    <x v="1"/>
    <x v="0"/>
    <x v="0"/>
    <x v="953"/>
    <x v="0"/>
    <x v="2"/>
    <x v="988"/>
    <x v="3"/>
    <x v="1"/>
  </r>
  <r>
    <x v="1042"/>
    <x v="6"/>
    <x v="0"/>
    <x v="0"/>
    <x v="0"/>
    <x v="954"/>
    <x v="0"/>
    <x v="2"/>
    <x v="989"/>
    <x v="4"/>
    <x v="1"/>
  </r>
  <r>
    <x v="1043"/>
    <x v="4"/>
    <x v="1"/>
    <x v="0"/>
    <x v="0"/>
    <x v="955"/>
    <x v="0"/>
    <x v="3"/>
    <x v="990"/>
    <x v="0"/>
    <x v="1"/>
  </r>
  <r>
    <x v="1044"/>
    <x v="17"/>
    <x v="0"/>
    <x v="1"/>
    <x v="0"/>
    <x v="65"/>
    <x v="1"/>
    <x v="2"/>
    <x v="991"/>
    <x v="10"/>
    <x v="0"/>
  </r>
  <r>
    <x v="1045"/>
    <x v="32"/>
    <x v="1"/>
    <x v="0"/>
    <x v="0"/>
    <x v="956"/>
    <x v="3"/>
    <x v="2"/>
    <x v="992"/>
    <x v="3"/>
    <x v="1"/>
  </r>
  <r>
    <x v="1046"/>
    <x v="6"/>
    <x v="0"/>
    <x v="2"/>
    <x v="1"/>
    <x v="957"/>
    <x v="2"/>
    <x v="2"/>
    <x v="993"/>
    <x v="3"/>
    <x v="1"/>
  </r>
  <r>
    <x v="1047"/>
    <x v="31"/>
    <x v="0"/>
    <x v="2"/>
    <x v="0"/>
    <x v="958"/>
    <x v="2"/>
    <x v="1"/>
    <x v="989"/>
    <x v="4"/>
    <x v="1"/>
  </r>
  <r>
    <x v="1048"/>
    <x v="7"/>
    <x v="1"/>
    <x v="0"/>
    <x v="0"/>
    <x v="959"/>
    <x v="2"/>
    <x v="1"/>
    <x v="994"/>
    <x v="0"/>
    <x v="1"/>
  </r>
  <r>
    <x v="1049"/>
    <x v="14"/>
    <x v="0"/>
    <x v="0"/>
    <x v="0"/>
    <x v="505"/>
    <x v="0"/>
    <x v="0"/>
    <x v="995"/>
    <x v="1"/>
    <x v="0"/>
  </r>
  <r>
    <x v="1050"/>
    <x v="8"/>
    <x v="0"/>
    <x v="0"/>
    <x v="0"/>
    <x v="960"/>
    <x v="3"/>
    <x v="2"/>
    <x v="996"/>
    <x v="1"/>
    <x v="1"/>
  </r>
  <r>
    <x v="1051"/>
    <x v="37"/>
    <x v="1"/>
    <x v="1"/>
    <x v="0"/>
    <x v="961"/>
    <x v="0"/>
    <x v="2"/>
    <x v="997"/>
    <x v="22"/>
    <x v="1"/>
  </r>
  <r>
    <x v="1052"/>
    <x v="2"/>
    <x v="1"/>
    <x v="0"/>
    <x v="0"/>
    <x v="962"/>
    <x v="0"/>
    <x v="2"/>
    <x v="998"/>
    <x v="3"/>
    <x v="1"/>
  </r>
  <r>
    <x v="1053"/>
    <x v="44"/>
    <x v="0"/>
    <x v="1"/>
    <x v="1"/>
    <x v="963"/>
    <x v="0"/>
    <x v="2"/>
    <x v="999"/>
    <x v="0"/>
    <x v="0"/>
  </r>
  <r>
    <x v="1054"/>
    <x v="26"/>
    <x v="1"/>
    <x v="1"/>
    <x v="1"/>
    <x v="964"/>
    <x v="0"/>
    <x v="3"/>
    <x v="1000"/>
    <x v="0"/>
    <x v="1"/>
  </r>
  <r>
    <x v="1055"/>
    <x v="16"/>
    <x v="1"/>
    <x v="1"/>
    <x v="0"/>
    <x v="965"/>
    <x v="2"/>
    <x v="3"/>
    <x v="1001"/>
    <x v="0"/>
    <x v="0"/>
  </r>
  <r>
    <x v="1056"/>
    <x v="14"/>
    <x v="1"/>
    <x v="2"/>
    <x v="0"/>
    <x v="966"/>
    <x v="0"/>
    <x v="3"/>
    <x v="1002"/>
    <x v="1"/>
    <x v="0"/>
  </r>
  <r>
    <x v="1057"/>
    <x v="26"/>
    <x v="1"/>
    <x v="0"/>
    <x v="2"/>
    <x v="967"/>
    <x v="2"/>
    <x v="2"/>
    <x v="1003"/>
    <x v="11"/>
    <x v="1"/>
  </r>
  <r>
    <x v="1058"/>
    <x v="5"/>
    <x v="1"/>
    <x v="0"/>
    <x v="1"/>
    <x v="968"/>
    <x v="1"/>
    <x v="3"/>
    <x v="1004"/>
    <x v="19"/>
    <x v="0"/>
  </r>
  <r>
    <x v="1059"/>
    <x v="3"/>
    <x v="0"/>
    <x v="0"/>
    <x v="1"/>
    <x v="969"/>
    <x v="0"/>
    <x v="0"/>
    <x v="1005"/>
    <x v="2"/>
    <x v="1"/>
  </r>
  <r>
    <x v="1060"/>
    <x v="5"/>
    <x v="1"/>
    <x v="0"/>
    <x v="0"/>
    <x v="970"/>
    <x v="0"/>
    <x v="1"/>
    <x v="546"/>
    <x v="10"/>
    <x v="1"/>
  </r>
  <r>
    <x v="1061"/>
    <x v="8"/>
    <x v="1"/>
    <x v="0"/>
    <x v="1"/>
    <x v="607"/>
    <x v="1"/>
    <x v="0"/>
    <x v="1006"/>
    <x v="2"/>
    <x v="0"/>
  </r>
  <r>
    <x v="1062"/>
    <x v="19"/>
    <x v="1"/>
    <x v="2"/>
    <x v="0"/>
    <x v="971"/>
    <x v="0"/>
    <x v="2"/>
    <x v="1007"/>
    <x v="1"/>
    <x v="0"/>
  </r>
  <r>
    <x v="1063"/>
    <x v="10"/>
    <x v="0"/>
    <x v="0"/>
    <x v="0"/>
    <x v="972"/>
    <x v="2"/>
    <x v="2"/>
    <x v="1008"/>
    <x v="6"/>
    <x v="1"/>
  </r>
  <r>
    <x v="1064"/>
    <x v="3"/>
    <x v="0"/>
    <x v="0"/>
    <x v="1"/>
    <x v="973"/>
    <x v="0"/>
    <x v="2"/>
    <x v="1009"/>
    <x v="1"/>
    <x v="1"/>
  </r>
  <r>
    <x v="1065"/>
    <x v="1"/>
    <x v="0"/>
    <x v="2"/>
    <x v="0"/>
    <x v="974"/>
    <x v="0"/>
    <x v="0"/>
    <x v="1010"/>
    <x v="6"/>
    <x v="0"/>
  </r>
  <r>
    <x v="1066"/>
    <x v="4"/>
    <x v="1"/>
    <x v="0"/>
    <x v="0"/>
    <x v="697"/>
    <x v="0"/>
    <x v="3"/>
    <x v="1011"/>
    <x v="26"/>
    <x v="1"/>
  </r>
  <r>
    <x v="1067"/>
    <x v="23"/>
    <x v="1"/>
    <x v="2"/>
    <x v="0"/>
    <x v="881"/>
    <x v="2"/>
    <x v="0"/>
    <x v="1012"/>
    <x v="6"/>
    <x v="1"/>
  </r>
  <r>
    <x v="1068"/>
    <x v="18"/>
    <x v="0"/>
    <x v="0"/>
    <x v="0"/>
    <x v="975"/>
    <x v="0"/>
    <x v="3"/>
    <x v="1013"/>
    <x v="3"/>
    <x v="1"/>
  </r>
  <r>
    <x v="1069"/>
    <x v="0"/>
    <x v="0"/>
    <x v="1"/>
    <x v="0"/>
    <x v="976"/>
    <x v="0"/>
    <x v="1"/>
    <x v="1014"/>
    <x v="11"/>
    <x v="0"/>
  </r>
  <r>
    <x v="1070"/>
    <x v="7"/>
    <x v="1"/>
    <x v="2"/>
    <x v="0"/>
    <x v="977"/>
    <x v="2"/>
    <x v="1"/>
    <x v="1015"/>
    <x v="22"/>
    <x v="1"/>
  </r>
  <r>
    <x v="1071"/>
    <x v="41"/>
    <x v="1"/>
    <x v="0"/>
    <x v="0"/>
    <x v="978"/>
    <x v="2"/>
    <x v="2"/>
    <x v="1016"/>
    <x v="0"/>
    <x v="1"/>
  </r>
  <r>
    <x v="1072"/>
    <x v="7"/>
    <x v="1"/>
    <x v="2"/>
    <x v="0"/>
    <x v="979"/>
    <x v="0"/>
    <x v="2"/>
    <x v="1017"/>
    <x v="1"/>
    <x v="1"/>
  </r>
  <r>
    <x v="1073"/>
    <x v="35"/>
    <x v="1"/>
    <x v="2"/>
    <x v="0"/>
    <x v="980"/>
    <x v="2"/>
    <x v="1"/>
    <x v="1018"/>
    <x v="10"/>
    <x v="1"/>
  </r>
  <r>
    <x v="1074"/>
    <x v="39"/>
    <x v="1"/>
    <x v="0"/>
    <x v="0"/>
    <x v="981"/>
    <x v="0"/>
    <x v="0"/>
    <x v="1019"/>
    <x v="3"/>
    <x v="0"/>
  </r>
  <r>
    <x v="1075"/>
    <x v="34"/>
    <x v="0"/>
    <x v="1"/>
    <x v="1"/>
    <x v="93"/>
    <x v="3"/>
    <x v="0"/>
    <x v="676"/>
    <x v="1"/>
    <x v="1"/>
  </r>
  <r>
    <x v="1076"/>
    <x v="20"/>
    <x v="0"/>
    <x v="1"/>
    <x v="0"/>
    <x v="982"/>
    <x v="0"/>
    <x v="2"/>
    <x v="1020"/>
    <x v="4"/>
    <x v="1"/>
  </r>
  <r>
    <x v="1077"/>
    <x v="11"/>
    <x v="0"/>
    <x v="2"/>
    <x v="0"/>
    <x v="571"/>
    <x v="0"/>
    <x v="0"/>
    <x v="1021"/>
    <x v="6"/>
    <x v="0"/>
  </r>
  <r>
    <x v="1078"/>
    <x v="1"/>
    <x v="0"/>
    <x v="0"/>
    <x v="0"/>
    <x v="983"/>
    <x v="2"/>
    <x v="0"/>
    <x v="1022"/>
    <x v="1"/>
    <x v="1"/>
  </r>
  <r>
    <x v="1079"/>
    <x v="43"/>
    <x v="1"/>
    <x v="1"/>
    <x v="0"/>
    <x v="984"/>
    <x v="0"/>
    <x v="0"/>
    <x v="1023"/>
    <x v="4"/>
    <x v="0"/>
  </r>
  <r>
    <x v="1080"/>
    <x v="49"/>
    <x v="1"/>
    <x v="0"/>
    <x v="0"/>
    <x v="985"/>
    <x v="1"/>
    <x v="0"/>
    <x v="1024"/>
    <x v="5"/>
    <x v="1"/>
  </r>
  <r>
    <x v="1081"/>
    <x v="20"/>
    <x v="0"/>
    <x v="0"/>
    <x v="1"/>
    <x v="35"/>
    <x v="0"/>
    <x v="3"/>
    <x v="1025"/>
    <x v="0"/>
    <x v="1"/>
  </r>
  <r>
    <x v="1082"/>
    <x v="23"/>
    <x v="1"/>
    <x v="1"/>
    <x v="0"/>
    <x v="986"/>
    <x v="0"/>
    <x v="3"/>
    <x v="1026"/>
    <x v="3"/>
    <x v="1"/>
  </r>
  <r>
    <x v="1083"/>
    <x v="60"/>
    <x v="0"/>
    <x v="0"/>
    <x v="0"/>
    <x v="987"/>
    <x v="0"/>
    <x v="3"/>
    <x v="1027"/>
    <x v="4"/>
    <x v="1"/>
  </r>
  <r>
    <x v="1084"/>
    <x v="22"/>
    <x v="0"/>
    <x v="2"/>
    <x v="0"/>
    <x v="988"/>
    <x v="3"/>
    <x v="2"/>
    <x v="1028"/>
    <x v="1"/>
    <x v="1"/>
  </r>
  <r>
    <x v="1085"/>
    <x v="14"/>
    <x v="1"/>
    <x v="0"/>
    <x v="1"/>
    <x v="989"/>
    <x v="0"/>
    <x v="0"/>
    <x v="1029"/>
    <x v="22"/>
    <x v="0"/>
  </r>
  <r>
    <x v="1086"/>
    <x v="3"/>
    <x v="0"/>
    <x v="0"/>
    <x v="0"/>
    <x v="990"/>
    <x v="0"/>
    <x v="0"/>
    <x v="1030"/>
    <x v="1"/>
    <x v="0"/>
  </r>
  <r>
    <x v="1087"/>
    <x v="14"/>
    <x v="0"/>
    <x v="1"/>
    <x v="0"/>
    <x v="991"/>
    <x v="2"/>
    <x v="1"/>
    <x v="1031"/>
    <x v="0"/>
    <x v="1"/>
  </r>
  <r>
    <x v="1088"/>
    <x v="47"/>
    <x v="1"/>
    <x v="1"/>
    <x v="2"/>
    <x v="992"/>
    <x v="0"/>
    <x v="0"/>
    <x v="1032"/>
    <x v="6"/>
    <x v="0"/>
  </r>
  <r>
    <x v="1089"/>
    <x v="51"/>
    <x v="0"/>
    <x v="1"/>
    <x v="2"/>
    <x v="993"/>
    <x v="0"/>
    <x v="0"/>
    <x v="1033"/>
    <x v="5"/>
    <x v="0"/>
  </r>
  <r>
    <x v="1090"/>
    <x v="10"/>
    <x v="1"/>
    <x v="0"/>
    <x v="1"/>
    <x v="994"/>
    <x v="3"/>
    <x v="2"/>
    <x v="1034"/>
    <x v="2"/>
    <x v="1"/>
  </r>
  <r>
    <x v="1091"/>
    <x v="61"/>
    <x v="1"/>
    <x v="1"/>
    <x v="2"/>
    <x v="995"/>
    <x v="0"/>
    <x v="3"/>
    <x v="1035"/>
    <x v="9"/>
    <x v="1"/>
  </r>
  <r>
    <x v="1092"/>
    <x v="3"/>
    <x v="1"/>
    <x v="0"/>
    <x v="0"/>
    <x v="996"/>
    <x v="0"/>
    <x v="2"/>
    <x v="515"/>
    <x v="1"/>
    <x v="1"/>
  </r>
  <r>
    <x v="1093"/>
    <x v="35"/>
    <x v="1"/>
    <x v="0"/>
    <x v="0"/>
    <x v="997"/>
    <x v="0"/>
    <x v="3"/>
    <x v="1036"/>
    <x v="7"/>
    <x v="1"/>
  </r>
  <r>
    <x v="1094"/>
    <x v="0"/>
    <x v="0"/>
    <x v="0"/>
    <x v="1"/>
    <x v="998"/>
    <x v="0"/>
    <x v="3"/>
    <x v="1037"/>
    <x v="6"/>
    <x v="0"/>
  </r>
  <r>
    <x v="1095"/>
    <x v="13"/>
    <x v="1"/>
    <x v="2"/>
    <x v="0"/>
    <x v="999"/>
    <x v="0"/>
    <x v="0"/>
    <x v="63"/>
    <x v="4"/>
    <x v="1"/>
  </r>
  <r>
    <x v="1096"/>
    <x v="14"/>
    <x v="1"/>
    <x v="0"/>
    <x v="0"/>
    <x v="1000"/>
    <x v="0"/>
    <x v="2"/>
    <x v="1038"/>
    <x v="3"/>
    <x v="0"/>
  </r>
  <r>
    <x v="1097"/>
    <x v="13"/>
    <x v="1"/>
    <x v="0"/>
    <x v="0"/>
    <x v="1001"/>
    <x v="2"/>
    <x v="1"/>
    <x v="1039"/>
    <x v="10"/>
    <x v="1"/>
  </r>
  <r>
    <x v="1098"/>
    <x v="10"/>
    <x v="0"/>
    <x v="1"/>
    <x v="1"/>
    <x v="1002"/>
    <x v="3"/>
    <x v="0"/>
    <x v="1040"/>
    <x v="4"/>
    <x v="1"/>
  </r>
  <r>
    <x v="1099"/>
    <x v="0"/>
    <x v="1"/>
    <x v="0"/>
    <x v="1"/>
    <x v="1003"/>
    <x v="1"/>
    <x v="3"/>
    <x v="1041"/>
    <x v="2"/>
    <x v="0"/>
  </r>
  <r>
    <x v="1100"/>
    <x v="8"/>
    <x v="1"/>
    <x v="1"/>
    <x v="0"/>
    <x v="1004"/>
    <x v="0"/>
    <x v="1"/>
    <x v="1042"/>
    <x v="3"/>
    <x v="0"/>
  </r>
  <r>
    <x v="1101"/>
    <x v="4"/>
    <x v="1"/>
    <x v="0"/>
    <x v="2"/>
    <x v="1005"/>
    <x v="2"/>
    <x v="2"/>
    <x v="1043"/>
    <x v="22"/>
    <x v="1"/>
  </r>
  <r>
    <x v="1102"/>
    <x v="41"/>
    <x v="1"/>
    <x v="1"/>
    <x v="0"/>
    <x v="1006"/>
    <x v="0"/>
    <x v="0"/>
    <x v="1044"/>
    <x v="25"/>
    <x v="0"/>
  </r>
  <r>
    <x v="1103"/>
    <x v="28"/>
    <x v="1"/>
    <x v="1"/>
    <x v="2"/>
    <x v="1007"/>
    <x v="2"/>
    <x v="2"/>
    <x v="1045"/>
    <x v="22"/>
    <x v="1"/>
  </r>
  <r>
    <x v="1104"/>
    <x v="10"/>
    <x v="0"/>
    <x v="1"/>
    <x v="0"/>
    <x v="1008"/>
    <x v="2"/>
    <x v="3"/>
    <x v="1046"/>
    <x v="3"/>
    <x v="0"/>
  </r>
  <r>
    <x v="1105"/>
    <x v="8"/>
    <x v="1"/>
    <x v="0"/>
    <x v="0"/>
    <x v="1009"/>
    <x v="0"/>
    <x v="3"/>
    <x v="1047"/>
    <x v="4"/>
    <x v="1"/>
  </r>
  <r>
    <x v="1106"/>
    <x v="54"/>
    <x v="1"/>
    <x v="0"/>
    <x v="0"/>
    <x v="1010"/>
    <x v="3"/>
    <x v="0"/>
    <x v="1048"/>
    <x v="4"/>
    <x v="1"/>
  </r>
  <r>
    <x v="1107"/>
    <x v="58"/>
    <x v="1"/>
    <x v="1"/>
    <x v="2"/>
    <x v="1011"/>
    <x v="3"/>
    <x v="1"/>
    <x v="1049"/>
    <x v="6"/>
    <x v="1"/>
  </r>
  <r>
    <x v="1108"/>
    <x v="0"/>
    <x v="0"/>
    <x v="0"/>
    <x v="1"/>
    <x v="1012"/>
    <x v="0"/>
    <x v="0"/>
    <x v="1050"/>
    <x v="3"/>
    <x v="0"/>
  </r>
  <r>
    <x v="1109"/>
    <x v="23"/>
    <x v="1"/>
    <x v="0"/>
    <x v="0"/>
    <x v="1013"/>
    <x v="0"/>
    <x v="2"/>
    <x v="1051"/>
    <x v="1"/>
    <x v="1"/>
  </r>
  <r>
    <x v="1110"/>
    <x v="24"/>
    <x v="0"/>
    <x v="0"/>
    <x v="0"/>
    <x v="1014"/>
    <x v="0"/>
    <x v="0"/>
    <x v="1052"/>
    <x v="14"/>
    <x v="0"/>
  </r>
  <r>
    <x v="1111"/>
    <x v="11"/>
    <x v="0"/>
    <x v="0"/>
    <x v="0"/>
    <x v="1015"/>
    <x v="0"/>
    <x v="0"/>
    <x v="1053"/>
    <x v="3"/>
    <x v="0"/>
  </r>
  <r>
    <x v="1112"/>
    <x v="10"/>
    <x v="0"/>
    <x v="2"/>
    <x v="0"/>
    <x v="568"/>
    <x v="0"/>
    <x v="3"/>
    <x v="1054"/>
    <x v="28"/>
    <x v="1"/>
  </r>
  <r>
    <x v="1113"/>
    <x v="7"/>
    <x v="0"/>
    <x v="0"/>
    <x v="0"/>
    <x v="834"/>
    <x v="1"/>
    <x v="2"/>
    <x v="1055"/>
    <x v="4"/>
    <x v="1"/>
  </r>
  <r>
    <x v="1114"/>
    <x v="59"/>
    <x v="0"/>
    <x v="0"/>
    <x v="2"/>
    <x v="1016"/>
    <x v="0"/>
    <x v="2"/>
    <x v="1056"/>
    <x v="1"/>
    <x v="1"/>
  </r>
  <r>
    <x v="1115"/>
    <x v="26"/>
    <x v="1"/>
    <x v="0"/>
    <x v="2"/>
    <x v="1017"/>
    <x v="0"/>
    <x v="0"/>
    <x v="1057"/>
    <x v="1"/>
    <x v="0"/>
  </r>
  <r>
    <x v="1116"/>
    <x v="8"/>
    <x v="0"/>
    <x v="1"/>
    <x v="0"/>
    <x v="676"/>
    <x v="0"/>
    <x v="0"/>
    <x v="1058"/>
    <x v="10"/>
    <x v="0"/>
  </r>
  <r>
    <x v="1117"/>
    <x v="4"/>
    <x v="1"/>
    <x v="2"/>
    <x v="0"/>
    <x v="1018"/>
    <x v="1"/>
    <x v="0"/>
    <x v="1059"/>
    <x v="7"/>
    <x v="0"/>
  </r>
  <r>
    <x v="1118"/>
    <x v="37"/>
    <x v="1"/>
    <x v="0"/>
    <x v="0"/>
    <x v="1019"/>
    <x v="2"/>
    <x v="1"/>
    <x v="1060"/>
    <x v="3"/>
    <x v="1"/>
  </r>
  <r>
    <x v="1119"/>
    <x v="44"/>
    <x v="1"/>
    <x v="0"/>
    <x v="0"/>
    <x v="469"/>
    <x v="2"/>
    <x v="0"/>
    <x v="1061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_x000a_Dinâmica1" cacheId="0" autoFormatId="1" applyNumberFormats="0" applyBorderFormats="0" applyFontFormats="0" applyPatternFormats="0" applyAlignmentFormats="0" applyWidthHeightFormats="1" dataCaption="Valores" updatedVersion="5" minRefreshableVersion="3" createdVersion="5" missingCaption="0" useAutoFormatting="1" compact="0" indent="0" outline="1" compactData="0" outlineData="1" showDrill="1" multipleFieldFilters="0">
  <location ref="A3:D12" firstHeaderRow="1" firstDataRow="2" firstDataCol="1"/>
  <pivotFields count="11">
    <pivotField compact="0" showAll="0"/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/>
    <pivotField compact="0" showAll="0"/>
    <pivotField compact="0" showAll="0"/>
    <pivotField axis="axisRow" compact="0" numFmtId="183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/>
    <pivotField compact="0" showAll="0"/>
    <pivotField compact="0" numFmtId="183" showAll="0"/>
    <pivotField compact="0" showAll="0"/>
    <pivotField axis="axisCol" dataField="1" compact="0" showAll="0">
      <items count="3">
        <item x="1"/>
        <item x="0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ntagem de Inadimplencia" fld="1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mprestimos" connectionId="1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1" displayName="Tabela1" ref="A1:K1121" tableType="queryTable" totalsRowShown="0">
  <autoFilter xmlns:etc="http://www.wps.cn/officeDocument/2017/etCustomData" ref="A1:K1121" etc:filterBottomFollowUsedRange="0">
    <filterColumn colId="5">
      <customFilters>
        <customFilter operator="greaterThan" val="6000"/>
      </customFilters>
    </filterColumn>
  </autoFilter>
  <tableColumns count="11">
    <tableColumn id="1" name="ID" uniqueName="1" queryTableFieldId="1"/>
    <tableColumn id="2" name="Idade" uniqueName="2" queryTableFieldId="2"/>
    <tableColumn id="3" name="Gênero" uniqueName="3" queryTableFieldId="3"/>
    <tableColumn id="4" name="Escolaridade" uniqueName="4" queryTableFieldId="4"/>
    <tableColumn id="5" name="Moradia" uniqueName="5" queryTableFieldId="5"/>
    <tableColumn id="6" name=" Renda_mensal " uniqueName="6" queryTableFieldId="6" dataDxfId="0"/>
    <tableColumn id="7" name="Saldo Investido" uniqueName="7" queryTableFieldId="7"/>
    <tableColumn id="8" name="Saldo Conta Corrente" uniqueName="8" queryTableFieldId="8"/>
    <tableColumn id="9" name=" Valor Emprestimo " uniqueName="9" queryTableFieldId="9" dataDxfId="1"/>
    <tableColumn id="10" name="Duracao Emprestimo" uniqueName="10" queryTableFieldId="10"/>
    <tableColumn id="11" name="Inadimplencia" uniqueName="11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21"/>
  <sheetViews>
    <sheetView topLeftCell="A84" workbookViewId="0">
      <selection activeCell="J59" sqref="J59"/>
    </sheetView>
  </sheetViews>
  <sheetFormatPr defaultColWidth="9" defaultRowHeight="15"/>
  <cols>
    <col min="1" max="1" width="5" customWidth="1"/>
    <col min="2" max="2" width="6.42857142857143" customWidth="1"/>
    <col min="3" max="3" width="8.14285714285714" customWidth="1"/>
    <col min="4" max="4" width="14" customWidth="1"/>
    <col min="5" max="5" width="9.28571428571429" customWidth="1"/>
    <col min="6" max="6" width="15.2857142857143" style="38" customWidth="1"/>
    <col min="7" max="8" width="22.2857142857143" customWidth="1"/>
    <col min="9" max="9" width="18.7142857142857" style="38" customWidth="1"/>
    <col min="10" max="10" width="21.8571428571429" customWidth="1"/>
    <col min="11" max="11" width="14.8571428571429" customWidth="1"/>
  </cols>
  <sheetData>
    <row r="1" ht="15.75" spans="1:11">
      <c r="A1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40" t="s">
        <v>5</v>
      </c>
      <c r="G1" s="39" t="s">
        <v>6</v>
      </c>
      <c r="H1" s="39" t="s">
        <v>7</v>
      </c>
      <c r="I1" s="40" t="s">
        <v>8</v>
      </c>
      <c r="J1" s="39" t="s">
        <v>9</v>
      </c>
      <c r="K1" s="39" t="s">
        <v>10</v>
      </c>
    </row>
    <row r="2" hidden="1" spans="1:11">
      <c r="A2">
        <v>1</v>
      </c>
      <c r="B2">
        <v>23</v>
      </c>
      <c r="C2" t="s">
        <v>11</v>
      </c>
      <c r="D2" t="s">
        <v>12</v>
      </c>
      <c r="E2" t="s">
        <v>13</v>
      </c>
      <c r="F2" s="38">
        <v>1800</v>
      </c>
      <c r="G2" t="s">
        <v>14</v>
      </c>
      <c r="H2" t="s">
        <v>15</v>
      </c>
      <c r="I2" s="38">
        <v>8640.5</v>
      </c>
      <c r="J2">
        <v>36</v>
      </c>
      <c r="K2">
        <v>1</v>
      </c>
    </row>
    <row r="3" hidden="1" spans="1:11">
      <c r="A3">
        <v>2</v>
      </c>
      <c r="B3">
        <v>33</v>
      </c>
      <c r="C3" t="s">
        <v>16</v>
      </c>
      <c r="D3" t="s">
        <v>17</v>
      </c>
      <c r="E3" t="s">
        <v>13</v>
      </c>
      <c r="F3" s="38">
        <v>1554</v>
      </c>
      <c r="G3" t="s">
        <v>18</v>
      </c>
      <c r="H3" t="s">
        <v>19</v>
      </c>
      <c r="I3" s="38">
        <v>1478.4</v>
      </c>
      <c r="J3">
        <v>24</v>
      </c>
      <c r="K3">
        <v>1</v>
      </c>
    </row>
    <row r="4" hidden="1" spans="1:11">
      <c r="A4">
        <v>3</v>
      </c>
      <c r="B4">
        <v>35</v>
      </c>
      <c r="C4" t="s">
        <v>16</v>
      </c>
      <c r="D4" t="s">
        <v>12</v>
      </c>
      <c r="E4" t="s">
        <v>13</v>
      </c>
      <c r="F4" s="38">
        <v>2419</v>
      </c>
      <c r="G4" t="s">
        <v>20</v>
      </c>
      <c r="H4" t="s">
        <v>21</v>
      </c>
      <c r="I4" s="38">
        <v>6400.8</v>
      </c>
      <c r="J4">
        <v>15</v>
      </c>
      <c r="K4">
        <v>0</v>
      </c>
    </row>
    <row r="5" hidden="1" spans="1:11">
      <c r="A5">
        <v>4</v>
      </c>
      <c r="B5">
        <v>28</v>
      </c>
      <c r="C5" t="s">
        <v>11</v>
      </c>
      <c r="D5" t="s">
        <v>12</v>
      </c>
      <c r="E5" t="s">
        <v>13</v>
      </c>
      <c r="F5" s="38">
        <v>4992</v>
      </c>
      <c r="G5" t="s">
        <v>20</v>
      </c>
      <c r="H5" t="s">
        <v>21</v>
      </c>
      <c r="I5" s="38">
        <v>2154.6</v>
      </c>
      <c r="J5">
        <v>36</v>
      </c>
      <c r="K5">
        <v>0</v>
      </c>
    </row>
    <row r="6" hidden="1" spans="1:11">
      <c r="A6">
        <v>5</v>
      </c>
      <c r="B6">
        <v>37</v>
      </c>
      <c r="C6" t="s">
        <v>16</v>
      </c>
      <c r="D6" t="s">
        <v>12</v>
      </c>
      <c r="E6" t="s">
        <v>13</v>
      </c>
      <c r="F6" s="38">
        <v>3914</v>
      </c>
      <c r="G6" t="s">
        <v>14</v>
      </c>
      <c r="H6" t="s">
        <v>21</v>
      </c>
      <c r="I6" s="38">
        <v>2088</v>
      </c>
      <c r="J6">
        <v>18</v>
      </c>
      <c r="K6">
        <v>0</v>
      </c>
    </row>
    <row r="7" hidden="1" spans="1:11">
      <c r="A7">
        <v>6</v>
      </c>
      <c r="B7">
        <v>52</v>
      </c>
      <c r="C7" t="s">
        <v>11</v>
      </c>
      <c r="D7" t="s">
        <v>12</v>
      </c>
      <c r="E7" t="s">
        <v>22</v>
      </c>
      <c r="F7" s="38">
        <v>4440</v>
      </c>
      <c r="G7" t="s">
        <v>14</v>
      </c>
      <c r="H7" t="s">
        <v>15</v>
      </c>
      <c r="I7" s="38">
        <v>3321</v>
      </c>
      <c r="J7">
        <v>15</v>
      </c>
      <c r="K7">
        <v>0</v>
      </c>
    </row>
    <row r="8" hidden="1" spans="1:11">
      <c r="A8">
        <v>7</v>
      </c>
      <c r="B8">
        <v>52</v>
      </c>
      <c r="C8" t="s">
        <v>16</v>
      </c>
      <c r="D8" t="s">
        <v>12</v>
      </c>
      <c r="E8" t="s">
        <v>23</v>
      </c>
      <c r="F8" s="38">
        <v>3918</v>
      </c>
      <c r="G8" t="s">
        <v>14</v>
      </c>
      <c r="H8" t="s">
        <v>21</v>
      </c>
      <c r="I8" s="38">
        <v>4592.7</v>
      </c>
      <c r="J8">
        <v>24</v>
      </c>
      <c r="K8">
        <v>0</v>
      </c>
    </row>
    <row r="9" hidden="1" spans="1:11">
      <c r="A9">
        <v>8</v>
      </c>
      <c r="B9">
        <v>26</v>
      </c>
      <c r="C9" t="s">
        <v>16</v>
      </c>
      <c r="D9" t="s">
        <v>24</v>
      </c>
      <c r="E9" t="s">
        <v>13</v>
      </c>
      <c r="F9" s="38">
        <v>2754</v>
      </c>
      <c r="G9" t="s">
        <v>14</v>
      </c>
      <c r="H9" t="s">
        <v>25</v>
      </c>
      <c r="I9" s="38">
        <v>817.2</v>
      </c>
      <c r="J9">
        <v>6</v>
      </c>
      <c r="K9">
        <v>0</v>
      </c>
    </row>
    <row r="10" hidden="1" spans="1:11">
      <c r="A10">
        <v>9</v>
      </c>
      <c r="B10">
        <v>30</v>
      </c>
      <c r="C10" t="s">
        <v>11</v>
      </c>
      <c r="D10" t="s">
        <v>12</v>
      </c>
      <c r="E10" t="s">
        <v>13</v>
      </c>
      <c r="F10" s="38">
        <v>3213</v>
      </c>
      <c r="G10" t="s">
        <v>14</v>
      </c>
      <c r="H10" t="s">
        <v>15</v>
      </c>
      <c r="I10" s="38">
        <v>308.7</v>
      </c>
      <c r="J10">
        <v>6</v>
      </c>
      <c r="K10">
        <v>0</v>
      </c>
    </row>
    <row r="11" hidden="1" spans="1:11">
      <c r="A11">
        <v>10</v>
      </c>
      <c r="B11">
        <v>31</v>
      </c>
      <c r="C11" t="s">
        <v>16</v>
      </c>
      <c r="D11" t="s">
        <v>17</v>
      </c>
      <c r="E11" t="s">
        <v>13</v>
      </c>
      <c r="F11" s="38">
        <v>2130</v>
      </c>
      <c r="G11" t="s">
        <v>18</v>
      </c>
      <c r="H11" t="s">
        <v>25</v>
      </c>
      <c r="I11" s="38">
        <v>7535</v>
      </c>
      <c r="J11">
        <v>15</v>
      </c>
      <c r="K11">
        <v>1</v>
      </c>
    </row>
    <row r="12" hidden="1" spans="1:11">
      <c r="A12">
        <v>11</v>
      </c>
      <c r="B12">
        <v>70</v>
      </c>
      <c r="C12" t="s">
        <v>16</v>
      </c>
      <c r="D12" t="s">
        <v>24</v>
      </c>
      <c r="E12" t="s">
        <v>13</v>
      </c>
      <c r="F12" s="38">
        <v>4854</v>
      </c>
      <c r="G12" t="s">
        <v>20</v>
      </c>
      <c r="H12" t="s">
        <v>21</v>
      </c>
      <c r="I12" s="38">
        <v>3448.8</v>
      </c>
      <c r="J12">
        <v>9</v>
      </c>
      <c r="K12">
        <v>0</v>
      </c>
    </row>
    <row r="13" hidden="1" spans="1:11">
      <c r="A13">
        <v>12</v>
      </c>
      <c r="B13">
        <v>25</v>
      </c>
      <c r="C13" t="s">
        <v>11</v>
      </c>
      <c r="D13" t="s">
        <v>17</v>
      </c>
      <c r="E13" t="s">
        <v>22</v>
      </c>
      <c r="F13" s="38">
        <v>2470</v>
      </c>
      <c r="G13" t="s">
        <v>14</v>
      </c>
      <c r="H13" t="s">
        <v>15</v>
      </c>
      <c r="I13" s="38">
        <v>2092.2</v>
      </c>
      <c r="J13">
        <v>12</v>
      </c>
      <c r="K13">
        <v>1</v>
      </c>
    </row>
    <row r="14" hidden="1" spans="1:11">
      <c r="A14">
        <v>13</v>
      </c>
      <c r="B14">
        <v>33</v>
      </c>
      <c r="C14" t="s">
        <v>16</v>
      </c>
      <c r="D14" t="s">
        <v>12</v>
      </c>
      <c r="E14" t="s">
        <v>23</v>
      </c>
      <c r="F14" s="38">
        <v>5311</v>
      </c>
      <c r="G14" t="s">
        <v>18</v>
      </c>
      <c r="H14" t="s">
        <v>25</v>
      </c>
      <c r="I14" s="38">
        <v>2575.8</v>
      </c>
      <c r="J14">
        <v>36</v>
      </c>
      <c r="K14">
        <v>0</v>
      </c>
    </row>
    <row r="15" hidden="1" spans="1:11">
      <c r="A15">
        <v>14</v>
      </c>
      <c r="B15">
        <v>23</v>
      </c>
      <c r="C15" t="s">
        <v>11</v>
      </c>
      <c r="D15" t="s">
        <v>12</v>
      </c>
      <c r="E15" t="s">
        <v>13</v>
      </c>
      <c r="F15" s="38">
        <v>3095</v>
      </c>
      <c r="G15" t="s">
        <v>14</v>
      </c>
      <c r="H15" t="s">
        <v>15</v>
      </c>
      <c r="I15" s="38">
        <v>2018.5</v>
      </c>
      <c r="J15">
        <v>21</v>
      </c>
      <c r="K15">
        <v>1</v>
      </c>
    </row>
    <row r="16" hidden="1" spans="1:11">
      <c r="A16">
        <v>15</v>
      </c>
      <c r="B16">
        <v>22</v>
      </c>
      <c r="C16" t="s">
        <v>11</v>
      </c>
      <c r="D16" t="s">
        <v>17</v>
      </c>
      <c r="E16" t="s">
        <v>13</v>
      </c>
      <c r="F16" s="38">
        <v>4275</v>
      </c>
      <c r="G16" t="s">
        <v>14</v>
      </c>
      <c r="H16" t="s">
        <v>15</v>
      </c>
      <c r="I16" s="38">
        <v>688.6</v>
      </c>
      <c r="J16">
        <v>12</v>
      </c>
      <c r="K16">
        <v>1</v>
      </c>
    </row>
    <row r="17" hidden="1" spans="1:11">
      <c r="A17">
        <v>16</v>
      </c>
      <c r="B17">
        <v>29</v>
      </c>
      <c r="C17" t="s">
        <v>11</v>
      </c>
      <c r="D17" t="s">
        <v>12</v>
      </c>
      <c r="E17" t="s">
        <v>13</v>
      </c>
      <c r="F17" s="38">
        <v>5058</v>
      </c>
      <c r="G17" t="s">
        <v>14</v>
      </c>
      <c r="H17" t="s">
        <v>21</v>
      </c>
      <c r="I17" s="38">
        <v>2487.6</v>
      </c>
      <c r="J17">
        <v>33</v>
      </c>
      <c r="K17">
        <v>0</v>
      </c>
    </row>
    <row r="18" hidden="1" spans="1:11">
      <c r="A18">
        <v>17</v>
      </c>
      <c r="B18">
        <v>26</v>
      </c>
      <c r="C18" t="s">
        <v>16</v>
      </c>
      <c r="D18" t="s">
        <v>12</v>
      </c>
      <c r="E18" t="s">
        <v>13</v>
      </c>
      <c r="F18" s="38">
        <v>3756</v>
      </c>
      <c r="G18" t="s">
        <v>18</v>
      </c>
      <c r="H18" t="s">
        <v>19</v>
      </c>
      <c r="I18" s="38">
        <v>9262</v>
      </c>
      <c r="J18">
        <v>36</v>
      </c>
      <c r="K18">
        <v>1</v>
      </c>
    </row>
    <row r="19" hidden="1" spans="1:11">
      <c r="A19">
        <v>18</v>
      </c>
      <c r="B19">
        <v>40</v>
      </c>
      <c r="C19" t="s">
        <v>16</v>
      </c>
      <c r="D19" t="s">
        <v>12</v>
      </c>
      <c r="E19" t="s">
        <v>23</v>
      </c>
      <c r="F19" s="38">
        <v>1863</v>
      </c>
      <c r="G19" t="s">
        <v>20</v>
      </c>
      <c r="H19" t="s">
        <v>19</v>
      </c>
      <c r="I19" s="38">
        <v>2484</v>
      </c>
      <c r="J19">
        <v>24</v>
      </c>
      <c r="K19">
        <v>0</v>
      </c>
    </row>
    <row r="20" hidden="1" spans="1:11">
      <c r="A20">
        <v>19</v>
      </c>
      <c r="B20">
        <v>32</v>
      </c>
      <c r="C20" t="s">
        <v>16</v>
      </c>
      <c r="D20" t="s">
        <v>17</v>
      </c>
      <c r="E20" t="s">
        <v>23</v>
      </c>
      <c r="F20" s="38">
        <v>5972</v>
      </c>
      <c r="G20" t="s">
        <v>14</v>
      </c>
      <c r="H20" t="s">
        <v>15</v>
      </c>
      <c r="I20" s="38">
        <v>5921.1</v>
      </c>
      <c r="J20">
        <v>24</v>
      </c>
      <c r="K20">
        <v>0</v>
      </c>
    </row>
    <row r="21" hidden="1" spans="1:11">
      <c r="A21">
        <v>20</v>
      </c>
      <c r="B21">
        <v>40</v>
      </c>
      <c r="C21" t="s">
        <v>16</v>
      </c>
      <c r="D21" t="s">
        <v>12</v>
      </c>
      <c r="E21" t="s">
        <v>22</v>
      </c>
      <c r="F21" s="38">
        <v>4927</v>
      </c>
      <c r="G21" t="s">
        <v>14</v>
      </c>
      <c r="H21" t="s">
        <v>15</v>
      </c>
      <c r="I21" s="38">
        <v>2519.1</v>
      </c>
      <c r="J21">
        <v>9</v>
      </c>
      <c r="K21">
        <v>0</v>
      </c>
    </row>
    <row r="22" hidden="1" spans="1:11">
      <c r="A22">
        <v>21</v>
      </c>
      <c r="B22">
        <v>25</v>
      </c>
      <c r="C22" t="s">
        <v>16</v>
      </c>
      <c r="D22" t="s">
        <v>17</v>
      </c>
      <c r="E22" t="s">
        <v>22</v>
      </c>
      <c r="F22" s="38">
        <v>2337</v>
      </c>
      <c r="G22" t="s">
        <v>14</v>
      </c>
      <c r="H22" t="s">
        <v>15</v>
      </c>
      <c r="I22" s="38">
        <v>10337.8</v>
      </c>
      <c r="J22">
        <v>36</v>
      </c>
      <c r="K22">
        <v>1</v>
      </c>
    </row>
    <row r="23" hidden="1" spans="1:11">
      <c r="A23">
        <v>22</v>
      </c>
      <c r="B23">
        <v>58</v>
      </c>
      <c r="C23" t="s">
        <v>16</v>
      </c>
      <c r="D23" t="s">
        <v>17</v>
      </c>
      <c r="E23" t="s">
        <v>23</v>
      </c>
      <c r="F23" s="38">
        <v>1324</v>
      </c>
      <c r="G23" t="s">
        <v>14</v>
      </c>
      <c r="H23" t="s">
        <v>15</v>
      </c>
      <c r="I23" s="38">
        <v>4296.6</v>
      </c>
      <c r="J23">
        <v>36</v>
      </c>
      <c r="K23">
        <v>1</v>
      </c>
    </row>
    <row r="24" hidden="1" spans="1:11">
      <c r="A24">
        <v>23</v>
      </c>
      <c r="B24">
        <v>25</v>
      </c>
      <c r="C24" t="s">
        <v>11</v>
      </c>
      <c r="D24" t="s">
        <v>17</v>
      </c>
      <c r="E24" t="s">
        <v>22</v>
      </c>
      <c r="F24" s="38">
        <v>3764</v>
      </c>
      <c r="G24" t="s">
        <v>20</v>
      </c>
      <c r="H24" t="s">
        <v>25</v>
      </c>
      <c r="I24" s="38">
        <v>2894.1</v>
      </c>
      <c r="J24">
        <v>15</v>
      </c>
      <c r="K24">
        <v>1</v>
      </c>
    </row>
    <row r="25" hidden="1" spans="1:11">
      <c r="A25">
        <v>24</v>
      </c>
      <c r="B25">
        <v>24</v>
      </c>
      <c r="C25" t="s">
        <v>16</v>
      </c>
      <c r="D25" t="s">
        <v>24</v>
      </c>
      <c r="E25" t="s">
        <v>13</v>
      </c>
      <c r="F25" s="38">
        <v>2447</v>
      </c>
      <c r="G25" t="s">
        <v>20</v>
      </c>
      <c r="H25" t="s">
        <v>21</v>
      </c>
      <c r="I25" s="38">
        <v>1439.9</v>
      </c>
      <c r="J25">
        <v>10</v>
      </c>
      <c r="K25">
        <v>1</v>
      </c>
    </row>
    <row r="26" spans="1:11">
      <c r="A26">
        <v>25</v>
      </c>
      <c r="B26">
        <v>37</v>
      </c>
      <c r="C26" t="s">
        <v>16</v>
      </c>
      <c r="D26" t="s">
        <v>24</v>
      </c>
      <c r="E26" t="s">
        <v>13</v>
      </c>
      <c r="F26" s="38">
        <v>6113</v>
      </c>
      <c r="G26" t="s">
        <v>20</v>
      </c>
      <c r="H26" t="s">
        <v>21</v>
      </c>
      <c r="I26" s="38">
        <v>1708.2</v>
      </c>
      <c r="J26">
        <v>6</v>
      </c>
      <c r="K26">
        <v>0</v>
      </c>
    </row>
    <row r="27" spans="1:11">
      <c r="A27">
        <v>26</v>
      </c>
      <c r="B27">
        <v>23</v>
      </c>
      <c r="C27" t="s">
        <v>11</v>
      </c>
      <c r="D27" t="s">
        <v>12</v>
      </c>
      <c r="E27" t="s">
        <v>13</v>
      </c>
      <c r="F27" s="38">
        <v>6775</v>
      </c>
      <c r="G27" t="s">
        <v>20</v>
      </c>
      <c r="H27" t="s">
        <v>21</v>
      </c>
      <c r="I27" s="38">
        <v>797.4</v>
      </c>
      <c r="J27">
        <v>12</v>
      </c>
      <c r="K27">
        <v>0</v>
      </c>
    </row>
    <row r="28" hidden="1" spans="1:11">
      <c r="A28">
        <v>27</v>
      </c>
      <c r="B28">
        <v>48</v>
      </c>
      <c r="C28" t="s">
        <v>16</v>
      </c>
      <c r="D28" t="s">
        <v>12</v>
      </c>
      <c r="E28" t="s">
        <v>13</v>
      </c>
      <c r="F28" s="38">
        <v>5438</v>
      </c>
      <c r="G28" t="s">
        <v>20</v>
      </c>
      <c r="H28" t="s">
        <v>25</v>
      </c>
      <c r="I28" s="38">
        <v>1623.6</v>
      </c>
      <c r="J28">
        <v>12</v>
      </c>
      <c r="K28">
        <v>0</v>
      </c>
    </row>
    <row r="29" hidden="1" spans="1:11">
      <c r="A29">
        <v>28</v>
      </c>
      <c r="B29">
        <v>24</v>
      </c>
      <c r="C29" t="s">
        <v>16</v>
      </c>
      <c r="D29" t="s">
        <v>24</v>
      </c>
      <c r="E29" t="s">
        <v>13</v>
      </c>
      <c r="F29" s="38">
        <v>5848</v>
      </c>
      <c r="G29" t="s">
        <v>14</v>
      </c>
      <c r="H29" t="s">
        <v>25</v>
      </c>
      <c r="I29" s="38">
        <v>408.6</v>
      </c>
      <c r="J29">
        <v>6</v>
      </c>
      <c r="K29">
        <v>0</v>
      </c>
    </row>
    <row r="30" hidden="1" spans="1:11">
      <c r="A30">
        <v>29</v>
      </c>
      <c r="B30">
        <v>36</v>
      </c>
      <c r="C30" t="s">
        <v>16</v>
      </c>
      <c r="D30" t="s">
        <v>12</v>
      </c>
      <c r="E30" t="s">
        <v>23</v>
      </c>
      <c r="F30" s="38">
        <v>3882</v>
      </c>
      <c r="G30" t="s">
        <v>14</v>
      </c>
      <c r="H30" t="s">
        <v>15</v>
      </c>
      <c r="I30" s="38">
        <v>4001.8</v>
      </c>
      <c r="J30">
        <v>36</v>
      </c>
      <c r="K30">
        <v>1</v>
      </c>
    </row>
    <row r="31" hidden="1" spans="1:11">
      <c r="A31">
        <v>30</v>
      </c>
      <c r="B31">
        <v>42</v>
      </c>
      <c r="C31" t="s">
        <v>16</v>
      </c>
      <c r="D31" t="s">
        <v>12</v>
      </c>
      <c r="E31" t="s">
        <v>13</v>
      </c>
      <c r="F31" s="38">
        <v>4456</v>
      </c>
      <c r="G31" t="s">
        <v>14</v>
      </c>
      <c r="H31" t="s">
        <v>21</v>
      </c>
      <c r="I31" s="38">
        <v>5358.6</v>
      </c>
      <c r="J31">
        <v>30</v>
      </c>
      <c r="K31">
        <v>0</v>
      </c>
    </row>
    <row r="32" hidden="1" spans="1:11">
      <c r="A32">
        <v>31</v>
      </c>
      <c r="B32">
        <v>59</v>
      </c>
      <c r="C32" t="s">
        <v>16</v>
      </c>
      <c r="D32" t="s">
        <v>12</v>
      </c>
      <c r="E32" t="s">
        <v>13</v>
      </c>
      <c r="F32" s="38">
        <v>5919</v>
      </c>
      <c r="G32" t="s">
        <v>14</v>
      </c>
      <c r="H32" t="s">
        <v>15</v>
      </c>
      <c r="I32" s="38">
        <v>1268.1</v>
      </c>
      <c r="J32">
        <v>12</v>
      </c>
      <c r="K32">
        <v>0</v>
      </c>
    </row>
    <row r="33" hidden="1" spans="1:11">
      <c r="A33">
        <v>32</v>
      </c>
      <c r="B33">
        <v>25</v>
      </c>
      <c r="C33" t="s">
        <v>11</v>
      </c>
      <c r="D33" t="s">
        <v>24</v>
      </c>
      <c r="E33" t="s">
        <v>13</v>
      </c>
      <c r="F33" s="38">
        <v>1650</v>
      </c>
      <c r="G33" t="s">
        <v>14</v>
      </c>
      <c r="H33" t="s">
        <v>19</v>
      </c>
      <c r="I33" s="38">
        <v>819.5</v>
      </c>
      <c r="J33">
        <v>9</v>
      </c>
      <c r="K33">
        <v>1</v>
      </c>
    </row>
    <row r="34" hidden="1" spans="1:11">
      <c r="A34">
        <v>33</v>
      </c>
      <c r="B34">
        <v>23</v>
      </c>
      <c r="C34" t="s">
        <v>11</v>
      </c>
      <c r="D34" t="s">
        <v>24</v>
      </c>
      <c r="E34" t="s">
        <v>13</v>
      </c>
      <c r="F34" s="38">
        <v>2156</v>
      </c>
      <c r="G34" t="s">
        <v>14</v>
      </c>
      <c r="H34" t="s">
        <v>19</v>
      </c>
      <c r="I34" s="38">
        <v>2559.7</v>
      </c>
      <c r="J34">
        <v>15</v>
      </c>
      <c r="K34">
        <v>1</v>
      </c>
    </row>
    <row r="35" spans="1:11">
      <c r="A35">
        <v>34</v>
      </c>
      <c r="B35">
        <v>55</v>
      </c>
      <c r="C35" t="s">
        <v>16</v>
      </c>
      <c r="D35" t="s">
        <v>12</v>
      </c>
      <c r="E35" t="s">
        <v>13</v>
      </c>
      <c r="F35" s="38">
        <v>6679</v>
      </c>
      <c r="G35" t="s">
        <v>20</v>
      </c>
      <c r="H35" t="s">
        <v>21</v>
      </c>
      <c r="I35" s="38">
        <v>2151</v>
      </c>
      <c r="J35">
        <v>12</v>
      </c>
      <c r="K35">
        <v>0</v>
      </c>
    </row>
    <row r="36" hidden="1" spans="1:11">
      <c r="A36">
        <v>35</v>
      </c>
      <c r="B36">
        <v>52</v>
      </c>
      <c r="C36" t="s">
        <v>11</v>
      </c>
      <c r="D36" t="s">
        <v>17</v>
      </c>
      <c r="E36" t="s">
        <v>23</v>
      </c>
      <c r="F36" s="38">
        <v>1808</v>
      </c>
      <c r="G36" t="s">
        <v>18</v>
      </c>
      <c r="H36" t="s">
        <v>19</v>
      </c>
      <c r="I36" s="38">
        <v>6757.3</v>
      </c>
      <c r="J36">
        <v>48</v>
      </c>
      <c r="K36">
        <v>1</v>
      </c>
    </row>
    <row r="37" hidden="1" spans="1:11">
      <c r="A37">
        <v>36</v>
      </c>
      <c r="B37">
        <v>47</v>
      </c>
      <c r="C37" t="s">
        <v>16</v>
      </c>
      <c r="D37" t="s">
        <v>12</v>
      </c>
      <c r="E37" t="s">
        <v>13</v>
      </c>
      <c r="F37" s="38">
        <v>3841</v>
      </c>
      <c r="G37" t="s">
        <v>18</v>
      </c>
      <c r="H37" t="s">
        <v>15</v>
      </c>
      <c r="I37" s="38">
        <v>1082.7</v>
      </c>
      <c r="J37">
        <v>6</v>
      </c>
      <c r="K37">
        <v>0</v>
      </c>
    </row>
    <row r="38" hidden="1" spans="1:11">
      <c r="A38">
        <v>37</v>
      </c>
      <c r="B38">
        <v>47</v>
      </c>
      <c r="C38" t="s">
        <v>16</v>
      </c>
      <c r="D38" t="s">
        <v>24</v>
      </c>
      <c r="E38" t="s">
        <v>13</v>
      </c>
      <c r="F38" s="38">
        <v>3822</v>
      </c>
      <c r="G38" t="s">
        <v>14</v>
      </c>
      <c r="H38" t="s">
        <v>15</v>
      </c>
      <c r="I38" s="38">
        <v>1209.6</v>
      </c>
      <c r="J38">
        <v>12</v>
      </c>
      <c r="K38">
        <v>0</v>
      </c>
    </row>
    <row r="39" hidden="1" spans="1:11">
      <c r="A39">
        <v>38</v>
      </c>
      <c r="B39">
        <v>42</v>
      </c>
      <c r="C39" t="s">
        <v>16</v>
      </c>
      <c r="D39" t="s">
        <v>12</v>
      </c>
      <c r="E39" t="s">
        <v>23</v>
      </c>
      <c r="F39" s="38">
        <v>4354</v>
      </c>
      <c r="G39" t="s">
        <v>20</v>
      </c>
      <c r="H39" t="s">
        <v>15</v>
      </c>
      <c r="I39" s="38">
        <v>9168.5</v>
      </c>
      <c r="J39">
        <v>36</v>
      </c>
      <c r="K39">
        <v>1</v>
      </c>
    </row>
    <row r="40" hidden="1" spans="1:11">
      <c r="A40">
        <v>39</v>
      </c>
      <c r="B40">
        <v>44</v>
      </c>
      <c r="C40" t="s">
        <v>16</v>
      </c>
      <c r="D40" t="s">
        <v>12</v>
      </c>
      <c r="E40" t="s">
        <v>13</v>
      </c>
      <c r="F40" s="38">
        <v>4172</v>
      </c>
      <c r="G40" t="s">
        <v>14</v>
      </c>
      <c r="H40" t="s">
        <v>25</v>
      </c>
      <c r="I40" s="38">
        <v>9224.6</v>
      </c>
      <c r="J40">
        <v>30</v>
      </c>
      <c r="K40">
        <v>1</v>
      </c>
    </row>
    <row r="41" hidden="1" spans="1:11">
      <c r="A41">
        <v>40</v>
      </c>
      <c r="B41">
        <v>45</v>
      </c>
      <c r="C41" t="s">
        <v>16</v>
      </c>
      <c r="D41" t="s">
        <v>12</v>
      </c>
      <c r="E41" t="s">
        <v>13</v>
      </c>
      <c r="F41" s="38">
        <v>3477</v>
      </c>
      <c r="G41" t="s">
        <v>20</v>
      </c>
      <c r="H41" t="s">
        <v>19</v>
      </c>
      <c r="I41" s="38">
        <v>3581.1</v>
      </c>
      <c r="J41">
        <v>48</v>
      </c>
      <c r="K41">
        <v>0</v>
      </c>
    </row>
    <row r="42" hidden="1" spans="1:11">
      <c r="A42">
        <v>41</v>
      </c>
      <c r="B42">
        <v>26</v>
      </c>
      <c r="C42" t="s">
        <v>11</v>
      </c>
      <c r="D42" t="s">
        <v>12</v>
      </c>
      <c r="E42" t="s">
        <v>13</v>
      </c>
      <c r="F42" s="38">
        <v>3576</v>
      </c>
      <c r="G42" t="s">
        <v>14</v>
      </c>
      <c r="H42" t="s">
        <v>15</v>
      </c>
      <c r="I42" s="38">
        <v>1054.9</v>
      </c>
      <c r="J42">
        <v>9</v>
      </c>
      <c r="K42">
        <v>1</v>
      </c>
    </row>
    <row r="43" hidden="1" spans="1:11">
      <c r="A43">
        <v>42</v>
      </c>
      <c r="B43">
        <v>31</v>
      </c>
      <c r="C43" t="s">
        <v>11</v>
      </c>
      <c r="D43" t="s">
        <v>24</v>
      </c>
      <c r="E43" t="s">
        <v>23</v>
      </c>
      <c r="F43" s="38">
        <v>3936</v>
      </c>
      <c r="G43" t="s">
        <v>20</v>
      </c>
      <c r="H43" t="s">
        <v>25</v>
      </c>
      <c r="I43" s="38">
        <v>2020.7</v>
      </c>
      <c r="J43">
        <v>24</v>
      </c>
      <c r="K43">
        <v>1</v>
      </c>
    </row>
    <row r="44" hidden="1" spans="1:11">
      <c r="A44">
        <v>43</v>
      </c>
      <c r="B44">
        <v>66</v>
      </c>
      <c r="C44" t="s">
        <v>16</v>
      </c>
      <c r="D44" t="s">
        <v>17</v>
      </c>
      <c r="E44" t="s">
        <v>13</v>
      </c>
      <c r="F44" s="38">
        <v>5920</v>
      </c>
      <c r="G44" t="s">
        <v>20</v>
      </c>
      <c r="H44" t="s">
        <v>19</v>
      </c>
      <c r="I44" s="38">
        <v>5821.2</v>
      </c>
      <c r="J44">
        <v>20</v>
      </c>
      <c r="K44">
        <v>0</v>
      </c>
    </row>
    <row r="45" hidden="1" spans="1:11">
      <c r="A45">
        <v>44</v>
      </c>
      <c r="B45">
        <v>45</v>
      </c>
      <c r="C45" t="s">
        <v>11</v>
      </c>
      <c r="D45" t="s">
        <v>24</v>
      </c>
      <c r="E45" t="s">
        <v>13</v>
      </c>
      <c r="F45" s="38">
        <v>5876</v>
      </c>
      <c r="G45" t="s">
        <v>26</v>
      </c>
      <c r="H45" t="s">
        <v>21</v>
      </c>
      <c r="I45" s="38">
        <v>225</v>
      </c>
      <c r="J45">
        <v>6</v>
      </c>
      <c r="K45">
        <v>0</v>
      </c>
    </row>
    <row r="46" hidden="1" spans="1:11">
      <c r="A46">
        <v>45</v>
      </c>
      <c r="B46">
        <v>39</v>
      </c>
      <c r="C46" t="s">
        <v>16</v>
      </c>
      <c r="D46" t="s">
        <v>12</v>
      </c>
      <c r="E46" t="s">
        <v>13</v>
      </c>
      <c r="F46" s="38">
        <v>2252</v>
      </c>
      <c r="G46" t="s">
        <v>14</v>
      </c>
      <c r="H46" t="s">
        <v>25</v>
      </c>
      <c r="I46" s="38">
        <v>4462.7</v>
      </c>
      <c r="J46">
        <v>24</v>
      </c>
      <c r="K46">
        <v>1</v>
      </c>
    </row>
    <row r="47" hidden="1" spans="1:11">
      <c r="A47">
        <v>46</v>
      </c>
      <c r="B47">
        <v>39</v>
      </c>
      <c r="C47" t="s">
        <v>16</v>
      </c>
      <c r="D47" t="s">
        <v>12</v>
      </c>
      <c r="E47" t="s">
        <v>13</v>
      </c>
      <c r="F47" s="38">
        <v>5024</v>
      </c>
      <c r="G47" t="s">
        <v>18</v>
      </c>
      <c r="H47" t="s">
        <v>21</v>
      </c>
      <c r="I47" s="38">
        <v>1926.9</v>
      </c>
      <c r="J47">
        <v>12</v>
      </c>
      <c r="K47">
        <v>0</v>
      </c>
    </row>
    <row r="48" hidden="1" spans="1:11">
      <c r="A48">
        <v>47</v>
      </c>
      <c r="B48">
        <v>50</v>
      </c>
      <c r="C48" t="s">
        <v>11</v>
      </c>
      <c r="D48" t="s">
        <v>17</v>
      </c>
      <c r="E48" t="s">
        <v>23</v>
      </c>
      <c r="F48" s="38">
        <v>1341</v>
      </c>
      <c r="G48" t="s">
        <v>14</v>
      </c>
      <c r="H48" t="s">
        <v>15</v>
      </c>
      <c r="I48" s="38">
        <v>1309</v>
      </c>
      <c r="J48">
        <v>18</v>
      </c>
      <c r="K48">
        <v>1</v>
      </c>
    </row>
    <row r="49" hidden="1" spans="1:11">
      <c r="A49">
        <v>48</v>
      </c>
      <c r="B49">
        <v>45</v>
      </c>
      <c r="C49" t="s">
        <v>16</v>
      </c>
      <c r="D49" t="s">
        <v>12</v>
      </c>
      <c r="E49" t="s">
        <v>13</v>
      </c>
      <c r="F49" s="38">
        <v>2195</v>
      </c>
      <c r="G49" t="s">
        <v>20</v>
      </c>
      <c r="H49" t="s">
        <v>21</v>
      </c>
      <c r="I49" s="38">
        <v>2844</v>
      </c>
      <c r="J49">
        <v>21</v>
      </c>
      <c r="K49">
        <v>0</v>
      </c>
    </row>
    <row r="50" hidden="1" spans="1:11">
      <c r="A50">
        <v>49</v>
      </c>
      <c r="B50">
        <v>23</v>
      </c>
      <c r="C50" t="s">
        <v>11</v>
      </c>
      <c r="D50" t="s">
        <v>24</v>
      </c>
      <c r="E50" t="s">
        <v>13</v>
      </c>
      <c r="F50" s="38">
        <v>2394</v>
      </c>
      <c r="G50" t="s">
        <v>14</v>
      </c>
      <c r="H50" t="s">
        <v>25</v>
      </c>
      <c r="I50" s="38">
        <v>1490.5</v>
      </c>
      <c r="J50">
        <v>24</v>
      </c>
      <c r="K50">
        <v>1</v>
      </c>
    </row>
    <row r="51" hidden="1" spans="1:11">
      <c r="A51">
        <v>50</v>
      </c>
      <c r="B51">
        <v>22</v>
      </c>
      <c r="C51" t="s">
        <v>16</v>
      </c>
      <c r="D51" t="s">
        <v>12</v>
      </c>
      <c r="E51" t="s">
        <v>13</v>
      </c>
      <c r="F51" s="38">
        <v>1548</v>
      </c>
      <c r="G51" t="s">
        <v>18</v>
      </c>
      <c r="H51" t="s">
        <v>25</v>
      </c>
      <c r="I51" s="38">
        <v>6154.5</v>
      </c>
      <c r="J51">
        <v>72</v>
      </c>
      <c r="K51">
        <v>1</v>
      </c>
    </row>
    <row r="52" spans="1:11">
      <c r="A52">
        <v>51</v>
      </c>
      <c r="B52">
        <v>50</v>
      </c>
      <c r="C52" t="s">
        <v>16</v>
      </c>
      <c r="D52" t="s">
        <v>24</v>
      </c>
      <c r="E52" t="s">
        <v>13</v>
      </c>
      <c r="F52" s="38">
        <v>6375</v>
      </c>
      <c r="G52" t="s">
        <v>20</v>
      </c>
      <c r="H52" t="s">
        <v>21</v>
      </c>
      <c r="I52" s="38">
        <v>1158.3</v>
      </c>
      <c r="J52">
        <v>10</v>
      </c>
      <c r="K52">
        <v>0</v>
      </c>
    </row>
    <row r="53" hidden="1" spans="1:11">
      <c r="A53">
        <v>52</v>
      </c>
      <c r="B53">
        <v>23</v>
      </c>
      <c r="C53" t="s">
        <v>16</v>
      </c>
      <c r="D53" t="s">
        <v>12</v>
      </c>
      <c r="E53" t="s">
        <v>13</v>
      </c>
      <c r="F53" s="38">
        <v>2322</v>
      </c>
      <c r="G53" t="s">
        <v>14</v>
      </c>
      <c r="H53" t="s">
        <v>15</v>
      </c>
      <c r="I53" s="38">
        <v>9051.9</v>
      </c>
      <c r="J53">
        <v>36</v>
      </c>
      <c r="K53">
        <v>1</v>
      </c>
    </row>
    <row r="54" hidden="1" spans="1:11">
      <c r="A54">
        <v>53</v>
      </c>
      <c r="B54">
        <v>48</v>
      </c>
      <c r="C54" t="s">
        <v>11</v>
      </c>
      <c r="D54" t="s">
        <v>24</v>
      </c>
      <c r="E54" t="s">
        <v>22</v>
      </c>
      <c r="F54" s="38">
        <v>3814</v>
      </c>
      <c r="G54" t="s">
        <v>14</v>
      </c>
      <c r="H54" t="s">
        <v>19</v>
      </c>
      <c r="I54" s="38">
        <v>1692.9</v>
      </c>
      <c r="J54">
        <v>12</v>
      </c>
      <c r="K54">
        <v>0</v>
      </c>
    </row>
    <row r="55" hidden="1" spans="1:11">
      <c r="A55">
        <v>54</v>
      </c>
      <c r="B55">
        <v>44</v>
      </c>
      <c r="C55" t="s">
        <v>11</v>
      </c>
      <c r="D55" t="s">
        <v>12</v>
      </c>
      <c r="E55" t="s">
        <v>22</v>
      </c>
      <c r="F55" s="38">
        <v>2398</v>
      </c>
      <c r="G55" t="s">
        <v>14</v>
      </c>
      <c r="H55" t="s">
        <v>25</v>
      </c>
      <c r="I55" s="38">
        <v>2700.9</v>
      </c>
      <c r="J55">
        <v>18</v>
      </c>
      <c r="K55">
        <v>0</v>
      </c>
    </row>
    <row r="56" spans="1:11">
      <c r="A56">
        <v>55</v>
      </c>
      <c r="B56">
        <v>22</v>
      </c>
      <c r="C56" t="s">
        <v>16</v>
      </c>
      <c r="D56" t="s">
        <v>12</v>
      </c>
      <c r="E56" t="s">
        <v>22</v>
      </c>
      <c r="F56" s="38">
        <v>6067</v>
      </c>
      <c r="G56" t="s">
        <v>14</v>
      </c>
      <c r="H56" t="s">
        <v>25</v>
      </c>
      <c r="I56" s="38">
        <v>526.5</v>
      </c>
      <c r="J56">
        <v>12</v>
      </c>
      <c r="K56">
        <v>0</v>
      </c>
    </row>
    <row r="57" spans="1:11">
      <c r="A57">
        <v>56</v>
      </c>
      <c r="B57">
        <v>30</v>
      </c>
      <c r="C57" t="s">
        <v>16</v>
      </c>
      <c r="D57" t="s">
        <v>12</v>
      </c>
      <c r="E57" t="s">
        <v>13</v>
      </c>
      <c r="F57" s="38">
        <v>6277</v>
      </c>
      <c r="G57" t="s">
        <v>26</v>
      </c>
      <c r="H57" t="s">
        <v>21</v>
      </c>
      <c r="I57" s="38">
        <v>7751.7</v>
      </c>
      <c r="J57">
        <v>27</v>
      </c>
      <c r="K57">
        <v>0</v>
      </c>
    </row>
    <row r="58" hidden="1" spans="1:11">
      <c r="A58">
        <v>57</v>
      </c>
      <c r="B58">
        <v>26</v>
      </c>
      <c r="C58" t="s">
        <v>11</v>
      </c>
      <c r="D58" t="s">
        <v>12</v>
      </c>
      <c r="E58" t="s">
        <v>22</v>
      </c>
      <c r="F58" s="38">
        <v>2413</v>
      </c>
      <c r="G58" t="s">
        <v>20</v>
      </c>
      <c r="H58" t="s">
        <v>19</v>
      </c>
      <c r="I58" s="38">
        <v>4232.8</v>
      </c>
      <c r="J58">
        <v>18</v>
      </c>
      <c r="K58">
        <v>1</v>
      </c>
    </row>
    <row r="59" spans="1:11">
      <c r="A59">
        <v>58</v>
      </c>
      <c r="B59">
        <v>42</v>
      </c>
      <c r="C59" t="s">
        <v>16</v>
      </c>
      <c r="D59" t="s">
        <v>17</v>
      </c>
      <c r="E59" t="s">
        <v>13</v>
      </c>
      <c r="F59" s="38">
        <v>6315</v>
      </c>
      <c r="G59" t="s">
        <v>26</v>
      </c>
      <c r="H59" t="s">
        <v>21</v>
      </c>
      <c r="I59" s="38">
        <v>5139.9</v>
      </c>
      <c r="J59">
        <v>36</v>
      </c>
      <c r="K59">
        <v>0</v>
      </c>
    </row>
    <row r="60" hidden="1" spans="1:11">
      <c r="A60">
        <v>59</v>
      </c>
      <c r="B60">
        <v>25</v>
      </c>
      <c r="C60" t="s">
        <v>11</v>
      </c>
      <c r="D60" t="s">
        <v>17</v>
      </c>
      <c r="E60" t="s">
        <v>13</v>
      </c>
      <c r="F60" s="38">
        <v>2758</v>
      </c>
      <c r="G60" t="s">
        <v>14</v>
      </c>
      <c r="H60" t="s">
        <v>19</v>
      </c>
      <c r="I60" s="38">
        <v>31726.2</v>
      </c>
      <c r="J60">
        <v>48</v>
      </c>
      <c r="K60">
        <v>1</v>
      </c>
    </row>
    <row r="61" hidden="1" spans="1:11">
      <c r="A61">
        <v>60</v>
      </c>
      <c r="B61">
        <v>69</v>
      </c>
      <c r="C61" t="s">
        <v>11</v>
      </c>
      <c r="D61" t="s">
        <v>17</v>
      </c>
      <c r="E61" t="s">
        <v>23</v>
      </c>
      <c r="F61" s="38">
        <v>3361</v>
      </c>
      <c r="G61" t="s">
        <v>18</v>
      </c>
      <c r="H61" t="s">
        <v>15</v>
      </c>
      <c r="I61" s="38">
        <v>11283.8</v>
      </c>
      <c r="J61">
        <v>9</v>
      </c>
      <c r="K61">
        <v>1</v>
      </c>
    </row>
    <row r="62" hidden="1" spans="1:11">
      <c r="A62">
        <v>61</v>
      </c>
      <c r="B62">
        <v>28</v>
      </c>
      <c r="C62" t="s">
        <v>11</v>
      </c>
      <c r="D62" t="s">
        <v>12</v>
      </c>
      <c r="E62" t="s">
        <v>13</v>
      </c>
      <c r="F62" s="38">
        <v>5485</v>
      </c>
      <c r="G62" t="s">
        <v>20</v>
      </c>
      <c r="H62" t="s">
        <v>19</v>
      </c>
      <c r="I62" s="38">
        <v>2691.9</v>
      </c>
      <c r="J62">
        <v>30</v>
      </c>
      <c r="K62">
        <v>0</v>
      </c>
    </row>
    <row r="63" hidden="1" spans="1:11">
      <c r="A63">
        <v>62</v>
      </c>
      <c r="B63">
        <v>34</v>
      </c>
      <c r="C63" t="s">
        <v>16</v>
      </c>
      <c r="D63" t="s">
        <v>12</v>
      </c>
      <c r="E63" t="s">
        <v>13</v>
      </c>
      <c r="F63" s="38">
        <v>5510</v>
      </c>
      <c r="G63" t="s">
        <v>14</v>
      </c>
      <c r="H63" t="s">
        <v>19</v>
      </c>
      <c r="I63" s="38">
        <v>4025.7</v>
      </c>
      <c r="J63">
        <v>36</v>
      </c>
      <c r="K63">
        <v>0</v>
      </c>
    </row>
    <row r="64" hidden="1" spans="1:11">
      <c r="A64">
        <v>63</v>
      </c>
      <c r="B64">
        <v>25</v>
      </c>
      <c r="C64" t="s">
        <v>11</v>
      </c>
      <c r="D64" t="s">
        <v>12</v>
      </c>
      <c r="E64" t="s">
        <v>22</v>
      </c>
      <c r="F64" s="38">
        <v>2357</v>
      </c>
      <c r="G64" t="s">
        <v>20</v>
      </c>
      <c r="H64" t="s">
        <v>15</v>
      </c>
      <c r="I64" s="38">
        <v>7623.9</v>
      </c>
      <c r="J64">
        <v>18</v>
      </c>
      <c r="K64">
        <v>0</v>
      </c>
    </row>
    <row r="65" spans="1:11">
      <c r="A65">
        <v>64</v>
      </c>
      <c r="B65">
        <v>83</v>
      </c>
      <c r="C65" t="s">
        <v>11</v>
      </c>
      <c r="D65" t="s">
        <v>17</v>
      </c>
      <c r="E65" t="s">
        <v>13</v>
      </c>
      <c r="F65" s="38">
        <v>6401</v>
      </c>
      <c r="G65" t="s">
        <v>20</v>
      </c>
      <c r="H65" t="s">
        <v>15</v>
      </c>
      <c r="I65" s="38">
        <v>1236.6</v>
      </c>
      <c r="J65">
        <v>6</v>
      </c>
      <c r="K65">
        <v>0</v>
      </c>
    </row>
    <row r="66" hidden="1" spans="1:11">
      <c r="A66">
        <v>65</v>
      </c>
      <c r="B66">
        <v>34</v>
      </c>
      <c r="C66" t="s">
        <v>11</v>
      </c>
      <c r="D66" t="s">
        <v>12</v>
      </c>
      <c r="E66" t="s">
        <v>13</v>
      </c>
      <c r="F66" s="38">
        <v>5555</v>
      </c>
      <c r="G66" t="s">
        <v>14</v>
      </c>
      <c r="H66" t="s">
        <v>21</v>
      </c>
      <c r="I66" s="38">
        <v>8609.4</v>
      </c>
      <c r="J66">
        <v>36</v>
      </c>
      <c r="K66">
        <v>0</v>
      </c>
    </row>
    <row r="67" hidden="1" spans="1:11">
      <c r="A67">
        <v>66</v>
      </c>
      <c r="B67">
        <v>34</v>
      </c>
      <c r="C67" t="s">
        <v>16</v>
      </c>
      <c r="D67" t="s">
        <v>12</v>
      </c>
      <c r="E67" t="s">
        <v>23</v>
      </c>
      <c r="F67" s="38">
        <v>1444</v>
      </c>
      <c r="G67" t="s">
        <v>14</v>
      </c>
      <c r="H67" t="s">
        <v>19</v>
      </c>
      <c r="I67" s="38">
        <v>1041.7</v>
      </c>
      <c r="J67">
        <v>24</v>
      </c>
      <c r="K67">
        <v>1</v>
      </c>
    </row>
    <row r="68" hidden="1" spans="1:11">
      <c r="A68">
        <v>67</v>
      </c>
      <c r="B68">
        <v>22</v>
      </c>
      <c r="C68" t="s">
        <v>16</v>
      </c>
      <c r="D68" t="s">
        <v>12</v>
      </c>
      <c r="E68" t="s">
        <v>22</v>
      </c>
      <c r="F68" s="38">
        <v>1477</v>
      </c>
      <c r="G68" t="s">
        <v>20</v>
      </c>
      <c r="H68" t="s">
        <v>25</v>
      </c>
      <c r="I68" s="38">
        <v>6668.2</v>
      </c>
      <c r="J68">
        <v>45</v>
      </c>
      <c r="K68">
        <v>1</v>
      </c>
    </row>
    <row r="69" hidden="1" spans="1:11">
      <c r="A69">
        <v>68</v>
      </c>
      <c r="B69">
        <v>36</v>
      </c>
      <c r="C69" t="s">
        <v>16</v>
      </c>
      <c r="D69" t="s">
        <v>17</v>
      </c>
      <c r="E69" t="s">
        <v>13</v>
      </c>
      <c r="F69" s="38">
        <v>3823</v>
      </c>
      <c r="G69" t="s">
        <v>20</v>
      </c>
      <c r="H69" t="s">
        <v>15</v>
      </c>
      <c r="I69" s="38">
        <v>1493.8</v>
      </c>
      <c r="J69">
        <v>24</v>
      </c>
      <c r="K69">
        <v>1</v>
      </c>
    </row>
    <row r="70" hidden="1" spans="1:11">
      <c r="A70">
        <v>69</v>
      </c>
      <c r="B70">
        <v>55</v>
      </c>
      <c r="C70" t="s">
        <v>16</v>
      </c>
      <c r="D70" t="s">
        <v>17</v>
      </c>
      <c r="E70" t="s">
        <v>23</v>
      </c>
      <c r="F70" s="38">
        <v>3758</v>
      </c>
      <c r="G70" t="s">
        <v>14</v>
      </c>
      <c r="H70" t="s">
        <v>15</v>
      </c>
      <c r="I70" s="38">
        <v>6728.4</v>
      </c>
      <c r="J70">
        <v>48</v>
      </c>
      <c r="K70">
        <v>0</v>
      </c>
    </row>
    <row r="71" hidden="1" spans="1:11">
      <c r="A71">
        <v>70</v>
      </c>
      <c r="B71">
        <v>43</v>
      </c>
      <c r="C71" t="s">
        <v>16</v>
      </c>
      <c r="D71" t="s">
        <v>24</v>
      </c>
      <c r="E71" t="s">
        <v>13</v>
      </c>
      <c r="F71" s="38">
        <v>1822</v>
      </c>
      <c r="G71" t="s">
        <v>14</v>
      </c>
      <c r="H71" t="s">
        <v>21</v>
      </c>
      <c r="I71" s="38">
        <v>6505.2</v>
      </c>
      <c r="J71">
        <v>11</v>
      </c>
      <c r="K71">
        <v>0</v>
      </c>
    </row>
    <row r="72" hidden="1" spans="1:11">
      <c r="A72">
        <v>71</v>
      </c>
      <c r="B72">
        <v>44</v>
      </c>
      <c r="C72" t="s">
        <v>16</v>
      </c>
      <c r="D72" t="s">
        <v>17</v>
      </c>
      <c r="E72" t="s">
        <v>13</v>
      </c>
      <c r="F72" s="38">
        <v>5774</v>
      </c>
      <c r="G72" t="s">
        <v>14</v>
      </c>
      <c r="H72" t="s">
        <v>15</v>
      </c>
      <c r="I72" s="38">
        <v>3471.3</v>
      </c>
      <c r="J72">
        <v>30</v>
      </c>
      <c r="K72">
        <v>0</v>
      </c>
    </row>
    <row r="73" hidden="1" spans="1:11">
      <c r="A73">
        <v>72</v>
      </c>
      <c r="B73">
        <v>51</v>
      </c>
      <c r="C73" t="s">
        <v>16</v>
      </c>
      <c r="D73" t="s">
        <v>12</v>
      </c>
      <c r="E73" t="s">
        <v>13</v>
      </c>
      <c r="F73" s="38">
        <v>1863</v>
      </c>
      <c r="G73" t="s">
        <v>14</v>
      </c>
      <c r="H73" t="s">
        <v>21</v>
      </c>
      <c r="I73" s="38">
        <v>1646.1</v>
      </c>
      <c r="J73">
        <v>15</v>
      </c>
      <c r="K73">
        <v>0</v>
      </c>
    </row>
    <row r="74" hidden="1" spans="1:11">
      <c r="A74">
        <v>73</v>
      </c>
      <c r="B74">
        <v>39</v>
      </c>
      <c r="C74" t="s">
        <v>16</v>
      </c>
      <c r="D74" t="s">
        <v>24</v>
      </c>
      <c r="E74" t="s">
        <v>22</v>
      </c>
      <c r="F74" s="38">
        <v>5051</v>
      </c>
      <c r="G74" t="s">
        <v>18</v>
      </c>
      <c r="H74" t="s">
        <v>21</v>
      </c>
      <c r="I74" s="38">
        <v>1276.2</v>
      </c>
      <c r="J74">
        <v>10</v>
      </c>
      <c r="K74">
        <v>0</v>
      </c>
    </row>
    <row r="75" hidden="1" spans="1:11">
      <c r="A75">
        <v>74</v>
      </c>
      <c r="B75">
        <v>36</v>
      </c>
      <c r="C75" t="s">
        <v>11</v>
      </c>
      <c r="D75" t="s">
        <v>12</v>
      </c>
      <c r="E75" t="s">
        <v>13</v>
      </c>
      <c r="F75" s="38">
        <v>4389</v>
      </c>
      <c r="G75" t="s">
        <v>14</v>
      </c>
      <c r="H75" t="s">
        <v>21</v>
      </c>
      <c r="I75" s="38">
        <v>2547.9</v>
      </c>
      <c r="J75">
        <v>30</v>
      </c>
      <c r="K75">
        <v>0</v>
      </c>
    </row>
    <row r="76" hidden="1" spans="1:11">
      <c r="A76">
        <v>75</v>
      </c>
      <c r="B76">
        <v>40</v>
      </c>
      <c r="C76" t="s">
        <v>16</v>
      </c>
      <c r="D76" t="s">
        <v>17</v>
      </c>
      <c r="E76" t="s">
        <v>22</v>
      </c>
      <c r="F76" s="38">
        <v>2861</v>
      </c>
      <c r="G76" t="s">
        <v>18</v>
      </c>
      <c r="H76" t="s">
        <v>25</v>
      </c>
      <c r="I76" s="38">
        <v>6270.3</v>
      </c>
      <c r="J76">
        <v>24</v>
      </c>
      <c r="K76">
        <v>0</v>
      </c>
    </row>
    <row r="77" hidden="1" spans="1:11">
      <c r="A77">
        <v>76</v>
      </c>
      <c r="B77">
        <v>39</v>
      </c>
      <c r="C77" t="s">
        <v>16</v>
      </c>
      <c r="D77" t="s">
        <v>12</v>
      </c>
      <c r="E77" t="s">
        <v>13</v>
      </c>
      <c r="F77" s="38">
        <v>2814</v>
      </c>
      <c r="G77" t="s">
        <v>14</v>
      </c>
      <c r="H77" t="s">
        <v>21</v>
      </c>
      <c r="I77" s="38">
        <v>5257.8</v>
      </c>
      <c r="J77">
        <v>36</v>
      </c>
      <c r="K77">
        <v>0</v>
      </c>
    </row>
    <row r="78" hidden="1" spans="1:11">
      <c r="A78">
        <v>77</v>
      </c>
      <c r="B78">
        <v>26</v>
      </c>
      <c r="C78" t="s">
        <v>11</v>
      </c>
      <c r="D78" t="s">
        <v>12</v>
      </c>
      <c r="E78" t="s">
        <v>13</v>
      </c>
      <c r="F78" s="38">
        <v>4407</v>
      </c>
      <c r="G78" t="s">
        <v>14</v>
      </c>
      <c r="H78" t="s">
        <v>21</v>
      </c>
      <c r="I78" s="38">
        <v>2509.2</v>
      </c>
      <c r="J78">
        <v>15</v>
      </c>
      <c r="K78">
        <v>0</v>
      </c>
    </row>
    <row r="79" hidden="1" spans="1:11">
      <c r="A79">
        <v>78</v>
      </c>
      <c r="B79">
        <v>81</v>
      </c>
      <c r="C79" t="s">
        <v>16</v>
      </c>
      <c r="D79" t="s">
        <v>24</v>
      </c>
      <c r="E79" t="s">
        <v>13</v>
      </c>
      <c r="F79" s="38">
        <v>2921</v>
      </c>
      <c r="G79" t="s">
        <v>14</v>
      </c>
      <c r="H79" t="s">
        <v>21</v>
      </c>
      <c r="I79" s="38">
        <v>3103.2</v>
      </c>
      <c r="J79">
        <v>5</v>
      </c>
      <c r="K79">
        <v>0</v>
      </c>
    </row>
    <row r="80" hidden="1" spans="1:11">
      <c r="A80">
        <v>79</v>
      </c>
      <c r="B80">
        <v>43</v>
      </c>
      <c r="C80" t="s">
        <v>16</v>
      </c>
      <c r="D80" t="s">
        <v>24</v>
      </c>
      <c r="E80" t="s">
        <v>13</v>
      </c>
      <c r="F80" s="38">
        <v>1991</v>
      </c>
      <c r="G80" t="s">
        <v>14</v>
      </c>
      <c r="H80" t="s">
        <v>15</v>
      </c>
      <c r="I80" s="38">
        <v>3058.2</v>
      </c>
      <c r="J80">
        <v>8</v>
      </c>
      <c r="K80">
        <v>0</v>
      </c>
    </row>
    <row r="81" hidden="1" spans="1:11">
      <c r="A81">
        <v>80</v>
      </c>
      <c r="B81">
        <v>63</v>
      </c>
      <c r="C81" t="s">
        <v>16</v>
      </c>
      <c r="D81" t="s">
        <v>24</v>
      </c>
      <c r="E81" t="s">
        <v>22</v>
      </c>
      <c r="F81" s="38">
        <v>5406</v>
      </c>
      <c r="G81" t="s">
        <v>20</v>
      </c>
      <c r="H81" t="s">
        <v>21</v>
      </c>
      <c r="I81" s="38">
        <v>1137.6</v>
      </c>
      <c r="J81">
        <v>12</v>
      </c>
      <c r="K81">
        <v>0</v>
      </c>
    </row>
    <row r="82" hidden="1" spans="1:11">
      <c r="A82">
        <v>81</v>
      </c>
      <c r="B82">
        <v>42</v>
      </c>
      <c r="C82" t="s">
        <v>11</v>
      </c>
      <c r="D82" t="s">
        <v>12</v>
      </c>
      <c r="E82" t="s">
        <v>13</v>
      </c>
      <c r="F82" s="38">
        <v>2741</v>
      </c>
      <c r="G82" t="s">
        <v>20</v>
      </c>
      <c r="H82" t="s">
        <v>21</v>
      </c>
      <c r="I82" s="38">
        <v>1116</v>
      </c>
      <c r="J82">
        <v>12</v>
      </c>
      <c r="K82">
        <v>0</v>
      </c>
    </row>
    <row r="83" hidden="1" spans="1:11">
      <c r="A83">
        <v>82</v>
      </c>
      <c r="B83">
        <v>28</v>
      </c>
      <c r="C83" t="s">
        <v>16</v>
      </c>
      <c r="D83" t="s">
        <v>12</v>
      </c>
      <c r="E83" t="s">
        <v>13</v>
      </c>
      <c r="F83" s="38">
        <v>1633</v>
      </c>
      <c r="G83" t="s">
        <v>18</v>
      </c>
      <c r="H83" t="s">
        <v>21</v>
      </c>
      <c r="I83" s="38">
        <v>3983.1</v>
      </c>
      <c r="J83">
        <v>24</v>
      </c>
      <c r="K83">
        <v>1</v>
      </c>
    </row>
    <row r="84" spans="1:11">
      <c r="A84">
        <v>83</v>
      </c>
      <c r="B84">
        <v>37</v>
      </c>
      <c r="C84" t="s">
        <v>16</v>
      </c>
      <c r="D84" t="s">
        <v>24</v>
      </c>
      <c r="E84" t="s">
        <v>13</v>
      </c>
      <c r="F84" s="38">
        <v>6047</v>
      </c>
      <c r="G84" t="s">
        <v>14</v>
      </c>
      <c r="H84" t="s">
        <v>21</v>
      </c>
      <c r="I84" s="38">
        <v>2782.8</v>
      </c>
      <c r="J84">
        <v>10</v>
      </c>
      <c r="K84">
        <v>0</v>
      </c>
    </row>
    <row r="85" hidden="1" spans="1:11">
      <c r="A85">
        <v>84</v>
      </c>
      <c r="B85">
        <v>30</v>
      </c>
      <c r="C85" t="s">
        <v>16</v>
      </c>
      <c r="D85" t="s">
        <v>17</v>
      </c>
      <c r="E85" t="s">
        <v>13</v>
      </c>
      <c r="F85" s="38">
        <v>2156</v>
      </c>
      <c r="G85" t="s">
        <v>20</v>
      </c>
      <c r="H85" t="s">
        <v>15</v>
      </c>
      <c r="I85" s="38">
        <v>4010.6</v>
      </c>
      <c r="J85">
        <v>24</v>
      </c>
      <c r="K85">
        <v>1</v>
      </c>
    </row>
    <row r="86" hidden="1" spans="1:11">
      <c r="A86">
        <v>85</v>
      </c>
      <c r="B86">
        <v>28</v>
      </c>
      <c r="C86" t="s">
        <v>11</v>
      </c>
      <c r="D86" t="s">
        <v>12</v>
      </c>
      <c r="E86" t="s">
        <v>13</v>
      </c>
      <c r="F86" s="38">
        <v>2417</v>
      </c>
      <c r="G86" t="s">
        <v>14</v>
      </c>
      <c r="H86" t="s">
        <v>15</v>
      </c>
      <c r="I86" s="38">
        <v>7433.8</v>
      </c>
      <c r="J86">
        <v>48</v>
      </c>
      <c r="K86">
        <v>1</v>
      </c>
    </row>
    <row r="87" hidden="1" spans="1:11">
      <c r="A87">
        <v>86</v>
      </c>
      <c r="B87">
        <v>50</v>
      </c>
      <c r="C87" t="s">
        <v>16</v>
      </c>
      <c r="D87" t="s">
        <v>12</v>
      </c>
      <c r="E87" t="s">
        <v>13</v>
      </c>
      <c r="F87" s="38">
        <v>4194</v>
      </c>
      <c r="G87" t="s">
        <v>14</v>
      </c>
      <c r="H87" t="s">
        <v>15</v>
      </c>
      <c r="I87" s="38">
        <v>7559.2</v>
      </c>
      <c r="J87">
        <v>24</v>
      </c>
      <c r="K87">
        <v>1</v>
      </c>
    </row>
    <row r="88" spans="1:11">
      <c r="A88">
        <v>87</v>
      </c>
      <c r="B88">
        <v>47</v>
      </c>
      <c r="C88" t="s">
        <v>16</v>
      </c>
      <c r="D88" t="s">
        <v>12</v>
      </c>
      <c r="E88" t="s">
        <v>13</v>
      </c>
      <c r="F88" s="38">
        <v>6177</v>
      </c>
      <c r="G88" t="s">
        <v>20</v>
      </c>
      <c r="H88" t="s">
        <v>19</v>
      </c>
      <c r="I88" s="38">
        <v>4368.6</v>
      </c>
      <c r="J88">
        <v>18</v>
      </c>
      <c r="K88">
        <v>0</v>
      </c>
    </row>
    <row r="89" hidden="1" spans="1:11">
      <c r="A89">
        <v>88</v>
      </c>
      <c r="B89">
        <v>54</v>
      </c>
      <c r="C89" t="s">
        <v>16</v>
      </c>
      <c r="D89" t="s">
        <v>12</v>
      </c>
      <c r="E89" t="s">
        <v>22</v>
      </c>
      <c r="F89" s="38">
        <v>3764</v>
      </c>
      <c r="G89" t="s">
        <v>20</v>
      </c>
      <c r="H89" t="s">
        <v>25</v>
      </c>
      <c r="I89" s="38">
        <v>35079</v>
      </c>
      <c r="J89">
        <v>54</v>
      </c>
      <c r="K89">
        <v>1</v>
      </c>
    </row>
    <row r="90" spans="1:11">
      <c r="A90">
        <v>89</v>
      </c>
      <c r="B90">
        <v>36</v>
      </c>
      <c r="C90" t="s">
        <v>16</v>
      </c>
      <c r="D90" t="s">
        <v>12</v>
      </c>
      <c r="E90" t="s">
        <v>13</v>
      </c>
      <c r="F90" s="38">
        <v>6131</v>
      </c>
      <c r="G90" t="s">
        <v>14</v>
      </c>
      <c r="H90" t="s">
        <v>21</v>
      </c>
      <c r="I90" s="38">
        <v>5463</v>
      </c>
      <c r="J90">
        <v>18</v>
      </c>
      <c r="K90">
        <v>0</v>
      </c>
    </row>
    <row r="91" spans="1:11">
      <c r="A91">
        <v>90</v>
      </c>
      <c r="B91">
        <v>59</v>
      </c>
      <c r="C91" t="s">
        <v>16</v>
      </c>
      <c r="D91" t="s">
        <v>12</v>
      </c>
      <c r="E91" t="s">
        <v>13</v>
      </c>
      <c r="F91" s="38">
        <v>6603</v>
      </c>
      <c r="G91" t="s">
        <v>20</v>
      </c>
      <c r="H91" t="s">
        <v>21</v>
      </c>
      <c r="I91" s="38">
        <v>645.3</v>
      </c>
      <c r="J91">
        <v>24</v>
      </c>
      <c r="K91">
        <v>0</v>
      </c>
    </row>
    <row r="92" hidden="1" spans="1:11">
      <c r="A92">
        <v>91</v>
      </c>
      <c r="B92">
        <v>27</v>
      </c>
      <c r="C92" t="s">
        <v>16</v>
      </c>
      <c r="D92" t="s">
        <v>24</v>
      </c>
      <c r="E92" t="s">
        <v>13</v>
      </c>
      <c r="F92" s="38">
        <v>4848</v>
      </c>
      <c r="G92" t="s">
        <v>14</v>
      </c>
      <c r="H92" t="s">
        <v>15</v>
      </c>
      <c r="I92" s="38">
        <v>3144.6</v>
      </c>
      <c r="J92">
        <v>24</v>
      </c>
      <c r="K92">
        <v>0</v>
      </c>
    </row>
    <row r="93" hidden="1" spans="1:11">
      <c r="A93">
        <v>92</v>
      </c>
      <c r="B93">
        <v>29</v>
      </c>
      <c r="C93" t="s">
        <v>16</v>
      </c>
      <c r="D93" t="s">
        <v>12</v>
      </c>
      <c r="E93" t="s">
        <v>22</v>
      </c>
      <c r="F93" s="38">
        <v>3585</v>
      </c>
      <c r="G93" t="s">
        <v>14</v>
      </c>
      <c r="H93" t="s">
        <v>21</v>
      </c>
      <c r="I93" s="38">
        <v>3166.2</v>
      </c>
      <c r="J93">
        <v>6</v>
      </c>
      <c r="K93">
        <v>0</v>
      </c>
    </row>
    <row r="94" hidden="1" spans="1:11">
      <c r="A94">
        <v>93</v>
      </c>
      <c r="B94">
        <v>43</v>
      </c>
      <c r="C94" t="s">
        <v>16</v>
      </c>
      <c r="D94" t="s">
        <v>12</v>
      </c>
      <c r="E94" t="s">
        <v>13</v>
      </c>
      <c r="F94" s="38">
        <v>4258</v>
      </c>
      <c r="G94" t="s">
        <v>20</v>
      </c>
      <c r="H94" t="s">
        <v>15</v>
      </c>
      <c r="I94" s="38">
        <v>1990.8</v>
      </c>
      <c r="J94">
        <v>20</v>
      </c>
      <c r="K94">
        <v>0</v>
      </c>
    </row>
    <row r="95" hidden="1" spans="1:11">
      <c r="A95">
        <v>94</v>
      </c>
      <c r="B95">
        <v>32</v>
      </c>
      <c r="C95" t="s">
        <v>16</v>
      </c>
      <c r="D95" t="s">
        <v>17</v>
      </c>
      <c r="E95" t="s">
        <v>13</v>
      </c>
      <c r="F95" s="38">
        <v>1757</v>
      </c>
      <c r="G95" t="s">
        <v>14</v>
      </c>
      <c r="H95" t="s">
        <v>25</v>
      </c>
      <c r="I95" s="38">
        <v>972.4</v>
      </c>
      <c r="J95">
        <v>18</v>
      </c>
      <c r="K95">
        <v>1</v>
      </c>
    </row>
    <row r="96" hidden="1" spans="1:11">
      <c r="A96">
        <v>95</v>
      </c>
      <c r="B96">
        <v>26</v>
      </c>
      <c r="C96" t="s">
        <v>11</v>
      </c>
      <c r="D96" t="s">
        <v>12</v>
      </c>
      <c r="E96" t="s">
        <v>13</v>
      </c>
      <c r="F96" s="38">
        <v>4340</v>
      </c>
      <c r="G96" t="s">
        <v>14</v>
      </c>
      <c r="H96" t="s">
        <v>15</v>
      </c>
      <c r="I96" s="38">
        <v>4354.9</v>
      </c>
      <c r="J96">
        <v>15</v>
      </c>
      <c r="K96">
        <v>1</v>
      </c>
    </row>
    <row r="97" hidden="1" spans="1:11">
      <c r="A97">
        <v>96</v>
      </c>
      <c r="B97">
        <v>40</v>
      </c>
      <c r="C97" t="s">
        <v>16</v>
      </c>
      <c r="D97" t="s">
        <v>12</v>
      </c>
      <c r="E97" t="s">
        <v>13</v>
      </c>
      <c r="F97" s="38">
        <v>2222</v>
      </c>
      <c r="G97" t="s">
        <v>14</v>
      </c>
      <c r="H97" t="s">
        <v>21</v>
      </c>
      <c r="I97" s="38">
        <v>1387.8</v>
      </c>
      <c r="J97">
        <v>12</v>
      </c>
      <c r="K97">
        <v>0</v>
      </c>
    </row>
    <row r="98" hidden="1" spans="1:11">
      <c r="A98">
        <v>97</v>
      </c>
      <c r="B98">
        <v>46</v>
      </c>
      <c r="C98" t="s">
        <v>16</v>
      </c>
      <c r="D98" t="s">
        <v>24</v>
      </c>
      <c r="E98" t="s">
        <v>13</v>
      </c>
      <c r="F98" s="38">
        <v>4585</v>
      </c>
      <c r="G98" t="s">
        <v>14</v>
      </c>
      <c r="H98" t="s">
        <v>21</v>
      </c>
      <c r="I98" s="38">
        <v>1309.5</v>
      </c>
      <c r="J98">
        <v>4</v>
      </c>
      <c r="K98">
        <v>0</v>
      </c>
    </row>
    <row r="99" hidden="1" spans="1:11">
      <c r="A99">
        <v>98</v>
      </c>
      <c r="B99">
        <v>56</v>
      </c>
      <c r="C99" t="s">
        <v>16</v>
      </c>
      <c r="D99" t="s">
        <v>12</v>
      </c>
      <c r="E99" t="s">
        <v>13</v>
      </c>
      <c r="F99" s="38">
        <v>5441</v>
      </c>
      <c r="G99" t="s">
        <v>20</v>
      </c>
      <c r="H99" t="s">
        <v>21</v>
      </c>
      <c r="I99" s="38">
        <v>3007.8</v>
      </c>
      <c r="J99">
        <v>36</v>
      </c>
      <c r="K99">
        <v>0</v>
      </c>
    </row>
    <row r="100" hidden="1" spans="1:11">
      <c r="A100">
        <v>99</v>
      </c>
      <c r="B100">
        <v>34</v>
      </c>
      <c r="C100" t="s">
        <v>16</v>
      </c>
      <c r="D100" t="s">
        <v>17</v>
      </c>
      <c r="E100" t="s">
        <v>23</v>
      </c>
      <c r="F100" s="38">
        <v>5391</v>
      </c>
      <c r="G100" t="s">
        <v>18</v>
      </c>
      <c r="H100" t="s">
        <v>25</v>
      </c>
      <c r="I100" s="38">
        <v>6823.8</v>
      </c>
      <c r="J100">
        <v>48</v>
      </c>
      <c r="K100">
        <v>0</v>
      </c>
    </row>
    <row r="101" hidden="1" spans="1:11">
      <c r="A101">
        <v>100</v>
      </c>
      <c r="B101">
        <v>29</v>
      </c>
      <c r="C101" t="s">
        <v>11</v>
      </c>
      <c r="D101" t="s">
        <v>17</v>
      </c>
      <c r="E101" t="s">
        <v>22</v>
      </c>
      <c r="F101" s="38">
        <v>2528</v>
      </c>
      <c r="G101" t="s">
        <v>14</v>
      </c>
      <c r="H101" t="s">
        <v>21</v>
      </c>
      <c r="I101" s="38">
        <v>4077</v>
      </c>
      <c r="J101">
        <v>30</v>
      </c>
      <c r="K101">
        <v>0</v>
      </c>
    </row>
    <row r="102" hidden="1" spans="1:11">
      <c r="A102">
        <v>101</v>
      </c>
      <c r="B102">
        <v>46</v>
      </c>
      <c r="C102" t="s">
        <v>16</v>
      </c>
      <c r="D102" t="s">
        <v>12</v>
      </c>
      <c r="E102" t="s">
        <v>23</v>
      </c>
      <c r="F102" s="38">
        <v>5596</v>
      </c>
      <c r="G102" t="s">
        <v>20</v>
      </c>
      <c r="H102" t="s">
        <v>21</v>
      </c>
      <c r="I102" s="38">
        <v>9429.3</v>
      </c>
      <c r="J102">
        <v>36</v>
      </c>
      <c r="K102">
        <v>0</v>
      </c>
    </row>
    <row r="103" hidden="1" spans="1:11">
      <c r="A103">
        <v>102</v>
      </c>
      <c r="B103">
        <v>29</v>
      </c>
      <c r="C103" t="s">
        <v>16</v>
      </c>
      <c r="D103" t="s">
        <v>12</v>
      </c>
      <c r="E103" t="s">
        <v>13</v>
      </c>
      <c r="F103" s="38">
        <v>3199</v>
      </c>
      <c r="G103" t="s">
        <v>14</v>
      </c>
      <c r="H103" t="s">
        <v>15</v>
      </c>
      <c r="I103" s="38">
        <v>2131.8</v>
      </c>
      <c r="J103">
        <v>24</v>
      </c>
      <c r="K103">
        <v>1</v>
      </c>
    </row>
    <row r="104" hidden="1" spans="1:11">
      <c r="A104">
        <v>103</v>
      </c>
      <c r="B104">
        <v>43</v>
      </c>
      <c r="C104" t="s">
        <v>16</v>
      </c>
      <c r="D104" t="s">
        <v>24</v>
      </c>
      <c r="E104" t="s">
        <v>13</v>
      </c>
      <c r="F104" s="38">
        <v>1896</v>
      </c>
      <c r="G104" t="s">
        <v>14</v>
      </c>
      <c r="H104" t="s">
        <v>21</v>
      </c>
      <c r="I104" s="38">
        <v>383.4</v>
      </c>
      <c r="J104">
        <v>6</v>
      </c>
      <c r="K104">
        <v>0</v>
      </c>
    </row>
    <row r="105" hidden="1" spans="1:11">
      <c r="A105">
        <v>104</v>
      </c>
      <c r="B105">
        <v>29</v>
      </c>
      <c r="C105" t="s">
        <v>16</v>
      </c>
      <c r="D105" t="s">
        <v>12</v>
      </c>
      <c r="E105" t="s">
        <v>13</v>
      </c>
      <c r="F105" s="38">
        <v>4920</v>
      </c>
      <c r="G105" t="s">
        <v>20</v>
      </c>
      <c r="H105" t="s">
        <v>21</v>
      </c>
      <c r="I105" s="38">
        <v>4723.2</v>
      </c>
      <c r="J105">
        <v>21</v>
      </c>
      <c r="K105">
        <v>0</v>
      </c>
    </row>
    <row r="106" hidden="1" spans="1:11">
      <c r="A106">
        <v>105</v>
      </c>
      <c r="B106">
        <v>44</v>
      </c>
      <c r="C106" t="s">
        <v>16</v>
      </c>
      <c r="D106" t="s">
        <v>12</v>
      </c>
      <c r="E106" t="s">
        <v>13</v>
      </c>
      <c r="F106" s="38">
        <v>5158</v>
      </c>
      <c r="G106" t="s">
        <v>20</v>
      </c>
      <c r="H106" t="s">
        <v>21</v>
      </c>
      <c r="I106" s="38">
        <v>2769.3</v>
      </c>
      <c r="J106">
        <v>30</v>
      </c>
      <c r="K106">
        <v>0</v>
      </c>
    </row>
    <row r="107" hidden="1" spans="1:11">
      <c r="A107">
        <v>106</v>
      </c>
      <c r="B107">
        <v>20</v>
      </c>
      <c r="C107" t="s">
        <v>16</v>
      </c>
      <c r="D107" t="s">
        <v>12</v>
      </c>
      <c r="E107" t="s">
        <v>22</v>
      </c>
      <c r="F107" s="38">
        <v>3487</v>
      </c>
      <c r="G107" t="s">
        <v>20</v>
      </c>
      <c r="H107" t="s">
        <v>25</v>
      </c>
      <c r="I107" s="38">
        <v>3401.2</v>
      </c>
      <c r="J107">
        <v>24</v>
      </c>
      <c r="K107">
        <v>1</v>
      </c>
    </row>
    <row r="108" hidden="1" spans="1:11">
      <c r="A108">
        <v>107</v>
      </c>
      <c r="B108">
        <v>23</v>
      </c>
      <c r="C108" t="s">
        <v>16</v>
      </c>
      <c r="D108" t="s">
        <v>12</v>
      </c>
      <c r="E108" t="s">
        <v>13</v>
      </c>
      <c r="F108" s="38">
        <v>2524</v>
      </c>
      <c r="G108" t="s">
        <v>18</v>
      </c>
      <c r="H108" t="s">
        <v>15</v>
      </c>
      <c r="I108" s="38">
        <v>3755.4</v>
      </c>
      <c r="J108">
        <v>21</v>
      </c>
      <c r="K108">
        <v>1</v>
      </c>
    </row>
    <row r="109" spans="1:11">
      <c r="A109">
        <v>108</v>
      </c>
      <c r="B109">
        <v>38</v>
      </c>
      <c r="C109" t="s">
        <v>16</v>
      </c>
      <c r="D109" t="s">
        <v>12</v>
      </c>
      <c r="E109" t="s">
        <v>13</v>
      </c>
      <c r="F109" s="38">
        <v>6417</v>
      </c>
      <c r="G109" t="s">
        <v>14</v>
      </c>
      <c r="H109" t="s">
        <v>19</v>
      </c>
      <c r="I109" s="38">
        <v>11320.2</v>
      </c>
      <c r="J109">
        <v>42</v>
      </c>
      <c r="K109">
        <v>0</v>
      </c>
    </row>
    <row r="110" hidden="1" spans="1:11">
      <c r="A110">
        <v>109</v>
      </c>
      <c r="B110">
        <v>28</v>
      </c>
      <c r="C110" t="s">
        <v>16</v>
      </c>
      <c r="D110" t="s">
        <v>24</v>
      </c>
      <c r="E110" t="s">
        <v>13</v>
      </c>
      <c r="F110" s="38">
        <v>2850</v>
      </c>
      <c r="G110" t="s">
        <v>14</v>
      </c>
      <c r="H110" t="s">
        <v>15</v>
      </c>
      <c r="I110" s="38">
        <v>3418.8</v>
      </c>
      <c r="J110">
        <v>30</v>
      </c>
      <c r="K110">
        <v>1</v>
      </c>
    </row>
    <row r="111" hidden="1" spans="1:11">
      <c r="A111">
        <v>110</v>
      </c>
      <c r="B111">
        <v>24</v>
      </c>
      <c r="C111" t="s">
        <v>16</v>
      </c>
      <c r="D111" t="s">
        <v>17</v>
      </c>
      <c r="E111" t="s">
        <v>13</v>
      </c>
      <c r="F111" s="38">
        <v>2825</v>
      </c>
      <c r="G111" t="s">
        <v>20</v>
      </c>
      <c r="H111" t="s">
        <v>25</v>
      </c>
      <c r="I111" s="38">
        <v>15429.7</v>
      </c>
      <c r="J111">
        <v>60</v>
      </c>
      <c r="K111">
        <v>1</v>
      </c>
    </row>
    <row r="112" hidden="1" spans="1:11">
      <c r="A112">
        <v>111</v>
      </c>
      <c r="B112">
        <v>23</v>
      </c>
      <c r="C112" t="s">
        <v>11</v>
      </c>
      <c r="D112" t="s">
        <v>17</v>
      </c>
      <c r="E112" t="s">
        <v>22</v>
      </c>
      <c r="F112" s="38">
        <v>1460</v>
      </c>
      <c r="G112" t="s">
        <v>18</v>
      </c>
      <c r="H112" t="s">
        <v>19</v>
      </c>
      <c r="I112" s="38">
        <v>5220.6</v>
      </c>
      <c r="J112">
        <v>45</v>
      </c>
      <c r="K112">
        <v>1</v>
      </c>
    </row>
    <row r="113" hidden="1" spans="1:11">
      <c r="A113">
        <v>112</v>
      </c>
      <c r="B113">
        <v>29</v>
      </c>
      <c r="C113" t="s">
        <v>11</v>
      </c>
      <c r="D113" t="s">
        <v>12</v>
      </c>
      <c r="E113" t="s">
        <v>13</v>
      </c>
      <c r="F113" s="38">
        <v>2464</v>
      </c>
      <c r="G113" t="s">
        <v>14</v>
      </c>
      <c r="H113" t="s">
        <v>21</v>
      </c>
      <c r="I113" s="38">
        <v>2862.9</v>
      </c>
      <c r="J113">
        <v>24</v>
      </c>
      <c r="K113">
        <v>0</v>
      </c>
    </row>
    <row r="114" hidden="1" spans="1:11">
      <c r="A114">
        <v>113</v>
      </c>
      <c r="B114">
        <v>28</v>
      </c>
      <c r="C114" t="s">
        <v>16</v>
      </c>
      <c r="D114" t="s">
        <v>12</v>
      </c>
      <c r="E114" t="s">
        <v>13</v>
      </c>
      <c r="F114" s="38">
        <v>3600</v>
      </c>
      <c r="G114" t="s">
        <v>14</v>
      </c>
      <c r="H114" t="s">
        <v>15</v>
      </c>
      <c r="I114" s="38">
        <v>877.5</v>
      </c>
      <c r="J114">
        <v>15</v>
      </c>
      <c r="K114">
        <v>0</v>
      </c>
    </row>
    <row r="115" hidden="1" spans="1:11">
      <c r="A115">
        <v>114</v>
      </c>
      <c r="B115">
        <v>26</v>
      </c>
      <c r="C115" t="s">
        <v>11</v>
      </c>
      <c r="D115" t="s">
        <v>12</v>
      </c>
      <c r="E115" t="s">
        <v>22</v>
      </c>
      <c r="F115" s="38">
        <v>4221</v>
      </c>
      <c r="G115" t="s">
        <v>14</v>
      </c>
      <c r="H115" t="s">
        <v>15</v>
      </c>
      <c r="I115" s="38">
        <v>586.8</v>
      </c>
      <c r="J115">
        <v>12</v>
      </c>
      <c r="K115">
        <v>0</v>
      </c>
    </row>
    <row r="116" hidden="1" spans="1:11">
      <c r="A116">
        <v>115</v>
      </c>
      <c r="B116">
        <v>26</v>
      </c>
      <c r="C116" t="s">
        <v>11</v>
      </c>
      <c r="D116" t="s">
        <v>12</v>
      </c>
      <c r="E116" t="s">
        <v>13</v>
      </c>
      <c r="F116" s="38">
        <v>4591</v>
      </c>
      <c r="G116" t="s">
        <v>14</v>
      </c>
      <c r="H116" t="s">
        <v>15</v>
      </c>
      <c r="I116" s="38">
        <v>3844.8</v>
      </c>
      <c r="J116">
        <v>20</v>
      </c>
      <c r="K116">
        <v>0</v>
      </c>
    </row>
    <row r="117" hidden="1" spans="1:11">
      <c r="A117">
        <v>116</v>
      </c>
      <c r="B117">
        <v>34</v>
      </c>
      <c r="C117" t="s">
        <v>16</v>
      </c>
      <c r="D117" t="s">
        <v>24</v>
      </c>
      <c r="E117" t="s">
        <v>13</v>
      </c>
      <c r="F117" s="38">
        <v>2688</v>
      </c>
      <c r="G117" t="s">
        <v>14</v>
      </c>
      <c r="H117" t="s">
        <v>25</v>
      </c>
      <c r="I117" s="38">
        <v>1368.9</v>
      </c>
      <c r="J117">
        <v>10</v>
      </c>
      <c r="K117">
        <v>0</v>
      </c>
    </row>
    <row r="118" spans="1:11">
      <c r="A118">
        <v>117</v>
      </c>
      <c r="B118">
        <v>26</v>
      </c>
      <c r="C118" t="s">
        <v>16</v>
      </c>
      <c r="D118" t="s">
        <v>24</v>
      </c>
      <c r="E118" t="s">
        <v>13</v>
      </c>
      <c r="F118" s="38">
        <v>6582</v>
      </c>
      <c r="G118" t="s">
        <v>14</v>
      </c>
      <c r="H118" t="s">
        <v>15</v>
      </c>
      <c r="I118" s="38">
        <v>1992.6</v>
      </c>
      <c r="J118">
        <v>12</v>
      </c>
      <c r="K118">
        <v>0</v>
      </c>
    </row>
    <row r="119" spans="1:11">
      <c r="A119">
        <v>118</v>
      </c>
      <c r="B119">
        <v>39</v>
      </c>
      <c r="C119" t="s">
        <v>16</v>
      </c>
      <c r="D119" t="s">
        <v>17</v>
      </c>
      <c r="E119" t="s">
        <v>13</v>
      </c>
      <c r="F119" s="38">
        <v>6289</v>
      </c>
      <c r="G119" t="s">
        <v>14</v>
      </c>
      <c r="H119" t="s">
        <v>21</v>
      </c>
      <c r="I119" s="38">
        <v>2403</v>
      </c>
      <c r="J119">
        <v>24</v>
      </c>
      <c r="K119">
        <v>0</v>
      </c>
    </row>
    <row r="120" hidden="1" spans="1:11">
      <c r="A120">
        <v>119</v>
      </c>
      <c r="B120">
        <v>56</v>
      </c>
      <c r="C120" t="s">
        <v>11</v>
      </c>
      <c r="D120" t="s">
        <v>12</v>
      </c>
      <c r="E120" t="s">
        <v>13</v>
      </c>
      <c r="F120" s="38">
        <v>3201</v>
      </c>
      <c r="G120" t="s">
        <v>18</v>
      </c>
      <c r="H120" t="s">
        <v>21</v>
      </c>
      <c r="I120" s="38">
        <v>613.8</v>
      </c>
      <c r="J120">
        <v>12</v>
      </c>
      <c r="K120">
        <v>0</v>
      </c>
    </row>
    <row r="121" hidden="1" spans="1:11">
      <c r="A121">
        <v>120</v>
      </c>
      <c r="B121">
        <v>23</v>
      </c>
      <c r="C121" t="s">
        <v>11</v>
      </c>
      <c r="D121" t="s">
        <v>17</v>
      </c>
      <c r="E121" t="s">
        <v>22</v>
      </c>
      <c r="F121" s="38">
        <v>3738</v>
      </c>
      <c r="G121" t="s">
        <v>14</v>
      </c>
      <c r="H121" t="s">
        <v>21</v>
      </c>
      <c r="I121" s="38">
        <v>13703.8</v>
      </c>
      <c r="J121">
        <v>36</v>
      </c>
      <c r="K121">
        <v>1</v>
      </c>
    </row>
    <row r="122" hidden="1" spans="1:11">
      <c r="A122">
        <v>121</v>
      </c>
      <c r="B122">
        <v>32</v>
      </c>
      <c r="C122" t="s">
        <v>16</v>
      </c>
      <c r="D122" t="s">
        <v>12</v>
      </c>
      <c r="E122" t="s">
        <v>13</v>
      </c>
      <c r="F122" s="38">
        <v>5842</v>
      </c>
      <c r="G122" t="s">
        <v>26</v>
      </c>
      <c r="H122" t="s">
        <v>21</v>
      </c>
      <c r="I122" s="38">
        <v>3855.6</v>
      </c>
      <c r="J122">
        <v>11</v>
      </c>
      <c r="K122">
        <v>0</v>
      </c>
    </row>
    <row r="123" hidden="1" spans="1:11">
      <c r="A123">
        <v>122</v>
      </c>
      <c r="B123">
        <v>34</v>
      </c>
      <c r="C123" t="s">
        <v>16</v>
      </c>
      <c r="D123" t="s">
        <v>12</v>
      </c>
      <c r="E123" t="s">
        <v>13</v>
      </c>
      <c r="F123" s="38">
        <v>1760</v>
      </c>
      <c r="G123" t="s">
        <v>20</v>
      </c>
      <c r="H123" t="s">
        <v>21</v>
      </c>
      <c r="I123" s="38">
        <v>836.1</v>
      </c>
      <c r="J123">
        <v>24</v>
      </c>
      <c r="K123">
        <v>0</v>
      </c>
    </row>
    <row r="124" hidden="1" spans="1:11">
      <c r="A124">
        <v>123</v>
      </c>
      <c r="B124">
        <v>35</v>
      </c>
      <c r="C124" t="s">
        <v>16</v>
      </c>
      <c r="D124" t="s">
        <v>12</v>
      </c>
      <c r="E124" t="s">
        <v>13</v>
      </c>
      <c r="F124" s="38">
        <v>3582</v>
      </c>
      <c r="G124" t="s">
        <v>18</v>
      </c>
      <c r="H124" t="s">
        <v>15</v>
      </c>
      <c r="I124" s="38">
        <v>2092.5</v>
      </c>
      <c r="J124">
        <v>24</v>
      </c>
      <c r="K124">
        <v>0</v>
      </c>
    </row>
    <row r="125" hidden="1" spans="1:11">
      <c r="A125">
        <v>124</v>
      </c>
      <c r="B125">
        <v>46</v>
      </c>
      <c r="C125" t="s">
        <v>16</v>
      </c>
      <c r="D125" t="s">
        <v>24</v>
      </c>
      <c r="E125" t="s">
        <v>13</v>
      </c>
      <c r="F125" s="38">
        <v>3012</v>
      </c>
      <c r="G125" t="s">
        <v>14</v>
      </c>
      <c r="H125" t="s">
        <v>21</v>
      </c>
      <c r="I125" s="38">
        <v>1352.7</v>
      </c>
      <c r="J125">
        <v>4</v>
      </c>
      <c r="K125">
        <v>0</v>
      </c>
    </row>
    <row r="126" hidden="1" spans="1:11">
      <c r="A126">
        <v>125</v>
      </c>
      <c r="B126">
        <v>29</v>
      </c>
      <c r="C126" t="s">
        <v>11</v>
      </c>
      <c r="D126" t="s">
        <v>12</v>
      </c>
      <c r="E126" t="s">
        <v>22</v>
      </c>
      <c r="F126" s="38">
        <v>3017</v>
      </c>
      <c r="G126" t="s">
        <v>14</v>
      </c>
      <c r="H126" t="s">
        <v>21</v>
      </c>
      <c r="I126" s="38">
        <v>1249.2</v>
      </c>
      <c r="J126">
        <v>9</v>
      </c>
      <c r="K126">
        <v>0</v>
      </c>
    </row>
    <row r="127" hidden="1" spans="1:11">
      <c r="A127">
        <v>126</v>
      </c>
      <c r="B127">
        <v>23</v>
      </c>
      <c r="C127" t="s">
        <v>11</v>
      </c>
      <c r="D127" t="s">
        <v>12</v>
      </c>
      <c r="E127" t="s">
        <v>22</v>
      </c>
      <c r="F127" s="38">
        <v>4257</v>
      </c>
      <c r="G127" t="s">
        <v>20</v>
      </c>
      <c r="H127" t="s">
        <v>21</v>
      </c>
      <c r="I127" s="38">
        <v>1013.4</v>
      </c>
      <c r="J127">
        <v>18</v>
      </c>
      <c r="K127">
        <v>0</v>
      </c>
    </row>
    <row r="128" hidden="1" spans="1:11">
      <c r="A128">
        <v>127</v>
      </c>
      <c r="B128">
        <v>31</v>
      </c>
      <c r="C128" t="s">
        <v>16</v>
      </c>
      <c r="D128" t="s">
        <v>12</v>
      </c>
      <c r="E128" t="s">
        <v>13</v>
      </c>
      <c r="F128" s="38">
        <v>3619</v>
      </c>
      <c r="G128" t="s">
        <v>14</v>
      </c>
      <c r="H128" t="s">
        <v>15</v>
      </c>
      <c r="I128" s="38">
        <v>3752.1</v>
      </c>
      <c r="J128">
        <v>24</v>
      </c>
      <c r="K128">
        <v>0</v>
      </c>
    </row>
    <row r="129" hidden="1" spans="1:11">
      <c r="A129">
        <v>128</v>
      </c>
      <c r="B129">
        <v>35</v>
      </c>
      <c r="C129" t="s">
        <v>16</v>
      </c>
      <c r="D129" t="s">
        <v>24</v>
      </c>
      <c r="E129" t="s">
        <v>13</v>
      </c>
      <c r="F129" s="38">
        <v>5826</v>
      </c>
      <c r="G129" t="s">
        <v>14</v>
      </c>
      <c r="H129" t="s">
        <v>25</v>
      </c>
      <c r="I129" s="38">
        <v>1170.9</v>
      </c>
      <c r="J129">
        <v>18</v>
      </c>
      <c r="K129">
        <v>0</v>
      </c>
    </row>
    <row r="130" hidden="1" spans="1:11">
      <c r="A130">
        <v>129</v>
      </c>
      <c r="B130">
        <v>29</v>
      </c>
      <c r="C130" t="s">
        <v>16</v>
      </c>
      <c r="D130" t="s">
        <v>17</v>
      </c>
      <c r="E130" t="s">
        <v>13</v>
      </c>
      <c r="F130" s="38">
        <v>4198</v>
      </c>
      <c r="G130" t="s">
        <v>26</v>
      </c>
      <c r="H130" t="s">
        <v>21</v>
      </c>
      <c r="I130" s="38">
        <v>2911.5</v>
      </c>
      <c r="J130">
        <v>24</v>
      </c>
      <c r="K130">
        <v>0</v>
      </c>
    </row>
    <row r="131" hidden="1" spans="1:11">
      <c r="A131">
        <v>130</v>
      </c>
      <c r="B131">
        <v>37</v>
      </c>
      <c r="C131" t="s">
        <v>16</v>
      </c>
      <c r="D131" t="s">
        <v>24</v>
      </c>
      <c r="E131" t="s">
        <v>13</v>
      </c>
      <c r="F131" s="38">
        <v>5071</v>
      </c>
      <c r="G131" t="s">
        <v>18</v>
      </c>
      <c r="H131" t="s">
        <v>21</v>
      </c>
      <c r="I131" s="38">
        <v>1568.7</v>
      </c>
      <c r="J131">
        <v>6</v>
      </c>
      <c r="K131">
        <v>0</v>
      </c>
    </row>
    <row r="132" hidden="1" spans="1:11">
      <c r="A132">
        <v>131</v>
      </c>
      <c r="B132">
        <v>30</v>
      </c>
      <c r="C132" t="s">
        <v>16</v>
      </c>
      <c r="D132" t="s">
        <v>24</v>
      </c>
      <c r="E132" t="s">
        <v>13</v>
      </c>
      <c r="F132" s="38">
        <v>2434</v>
      </c>
      <c r="G132" t="s">
        <v>14</v>
      </c>
      <c r="H132" t="s">
        <v>25</v>
      </c>
      <c r="I132" s="38">
        <v>973.8</v>
      </c>
      <c r="J132">
        <v>9</v>
      </c>
      <c r="K132">
        <v>0</v>
      </c>
    </row>
    <row r="133" hidden="1" spans="1:11">
      <c r="A133">
        <v>132</v>
      </c>
      <c r="B133">
        <v>51</v>
      </c>
      <c r="C133" t="s">
        <v>16</v>
      </c>
      <c r="D133" t="s">
        <v>17</v>
      </c>
      <c r="E133" t="s">
        <v>13</v>
      </c>
      <c r="F133" s="38">
        <v>5935</v>
      </c>
      <c r="G133" t="s">
        <v>20</v>
      </c>
      <c r="H133" t="s">
        <v>21</v>
      </c>
      <c r="I133" s="38">
        <v>6157.8</v>
      </c>
      <c r="J133">
        <v>24</v>
      </c>
      <c r="K133">
        <v>0</v>
      </c>
    </row>
    <row r="134" hidden="1" spans="1:11">
      <c r="A134">
        <v>133</v>
      </c>
      <c r="B134">
        <v>20</v>
      </c>
      <c r="C134" t="s">
        <v>11</v>
      </c>
      <c r="D134" t="s">
        <v>12</v>
      </c>
      <c r="E134" t="s">
        <v>22</v>
      </c>
      <c r="F134" s="38">
        <v>2991</v>
      </c>
      <c r="G134" t="s">
        <v>14</v>
      </c>
      <c r="H134" t="s">
        <v>15</v>
      </c>
      <c r="I134" s="38">
        <v>1502.6</v>
      </c>
      <c r="J134">
        <v>9</v>
      </c>
      <c r="K134">
        <v>1</v>
      </c>
    </row>
    <row r="135" hidden="1" spans="1:11">
      <c r="A135">
        <v>134</v>
      </c>
      <c r="B135">
        <v>41</v>
      </c>
      <c r="C135" t="s">
        <v>16</v>
      </c>
      <c r="D135" t="s">
        <v>12</v>
      </c>
      <c r="E135" t="s">
        <v>22</v>
      </c>
      <c r="F135" s="38">
        <v>3868</v>
      </c>
      <c r="G135" t="s">
        <v>14</v>
      </c>
      <c r="H135" t="s">
        <v>25</v>
      </c>
      <c r="I135" s="38">
        <v>1345.3</v>
      </c>
      <c r="J135">
        <v>12</v>
      </c>
      <c r="K135">
        <v>1</v>
      </c>
    </row>
    <row r="136" hidden="1" spans="1:11">
      <c r="A136">
        <v>135</v>
      </c>
      <c r="B136">
        <v>58</v>
      </c>
      <c r="C136" t="s">
        <v>16</v>
      </c>
      <c r="D136" t="s">
        <v>12</v>
      </c>
      <c r="E136" t="s">
        <v>13</v>
      </c>
      <c r="F136" s="38">
        <v>5241</v>
      </c>
      <c r="G136" t="s">
        <v>26</v>
      </c>
      <c r="H136" t="s">
        <v>21</v>
      </c>
      <c r="I136" s="38">
        <v>2551.5</v>
      </c>
      <c r="J136">
        <v>24</v>
      </c>
      <c r="K136">
        <v>0</v>
      </c>
    </row>
    <row r="137" hidden="1" spans="1:11">
      <c r="A137">
        <v>136</v>
      </c>
      <c r="B137">
        <v>34</v>
      </c>
      <c r="C137" t="s">
        <v>11</v>
      </c>
      <c r="D137" t="s">
        <v>24</v>
      </c>
      <c r="E137" t="s">
        <v>13</v>
      </c>
      <c r="F137" s="38">
        <v>3863</v>
      </c>
      <c r="G137" t="s">
        <v>14</v>
      </c>
      <c r="H137" t="s">
        <v>21</v>
      </c>
      <c r="I137" s="38">
        <v>1562.4</v>
      </c>
      <c r="J137">
        <v>12</v>
      </c>
      <c r="K137">
        <v>0</v>
      </c>
    </row>
    <row r="138" spans="1:11">
      <c r="A138">
        <v>137</v>
      </c>
      <c r="B138">
        <v>56</v>
      </c>
      <c r="C138" t="s">
        <v>16</v>
      </c>
      <c r="D138" t="s">
        <v>24</v>
      </c>
      <c r="E138" t="s">
        <v>23</v>
      </c>
      <c r="F138" s="38">
        <v>6672</v>
      </c>
      <c r="G138" t="s">
        <v>26</v>
      </c>
      <c r="H138" t="s">
        <v>21</v>
      </c>
      <c r="I138" s="38">
        <v>2256.3</v>
      </c>
      <c r="J138">
        <v>9</v>
      </c>
      <c r="K138">
        <v>0</v>
      </c>
    </row>
    <row r="139" hidden="1" spans="1:11">
      <c r="A139">
        <v>138</v>
      </c>
      <c r="B139">
        <v>50</v>
      </c>
      <c r="C139" t="s">
        <v>16</v>
      </c>
      <c r="D139" t="s">
        <v>17</v>
      </c>
      <c r="E139" t="s">
        <v>13</v>
      </c>
      <c r="F139" s="38">
        <v>5593</v>
      </c>
      <c r="G139" t="s">
        <v>14</v>
      </c>
      <c r="H139" t="s">
        <v>21</v>
      </c>
      <c r="I139" s="38">
        <v>6084.9</v>
      </c>
      <c r="J139">
        <v>6</v>
      </c>
      <c r="K139">
        <v>0</v>
      </c>
    </row>
    <row r="140" spans="1:11">
      <c r="A140">
        <v>139</v>
      </c>
      <c r="B140">
        <v>42</v>
      </c>
      <c r="C140" t="s">
        <v>16</v>
      </c>
      <c r="D140" t="s">
        <v>17</v>
      </c>
      <c r="E140" t="s">
        <v>13</v>
      </c>
      <c r="F140" s="38">
        <v>6483</v>
      </c>
      <c r="G140" t="s">
        <v>20</v>
      </c>
      <c r="H140" t="s">
        <v>21</v>
      </c>
      <c r="I140" s="38">
        <v>2906.1</v>
      </c>
      <c r="J140">
        <v>18</v>
      </c>
      <c r="K140">
        <v>0</v>
      </c>
    </row>
    <row r="141" hidden="1" spans="1:11">
      <c r="A141">
        <v>140</v>
      </c>
      <c r="B141">
        <v>54</v>
      </c>
      <c r="C141" t="s">
        <v>11</v>
      </c>
      <c r="D141" t="s">
        <v>12</v>
      </c>
      <c r="E141" t="s">
        <v>13</v>
      </c>
      <c r="F141" s="38">
        <v>5634</v>
      </c>
      <c r="G141" t="s">
        <v>14</v>
      </c>
      <c r="H141" t="s">
        <v>25</v>
      </c>
      <c r="I141" s="38">
        <v>982.8</v>
      </c>
      <c r="J141">
        <v>12</v>
      </c>
      <c r="K141">
        <v>0</v>
      </c>
    </row>
    <row r="142" hidden="1" spans="1:11">
      <c r="A142">
        <v>141</v>
      </c>
      <c r="B142">
        <v>36</v>
      </c>
      <c r="C142" t="s">
        <v>16</v>
      </c>
      <c r="D142" t="s">
        <v>12</v>
      </c>
      <c r="E142" t="s">
        <v>13</v>
      </c>
      <c r="F142" s="38">
        <v>5434</v>
      </c>
      <c r="G142" t="s">
        <v>14</v>
      </c>
      <c r="H142" t="s">
        <v>21</v>
      </c>
      <c r="I142" s="38">
        <v>1852.2</v>
      </c>
      <c r="J142">
        <v>24</v>
      </c>
      <c r="K142">
        <v>0</v>
      </c>
    </row>
    <row r="143" hidden="1" spans="1:11">
      <c r="A143">
        <v>142</v>
      </c>
      <c r="B143">
        <v>42</v>
      </c>
      <c r="C143" t="s">
        <v>16</v>
      </c>
      <c r="D143" t="s">
        <v>12</v>
      </c>
      <c r="E143" t="s">
        <v>13</v>
      </c>
      <c r="F143" s="38">
        <v>4361</v>
      </c>
      <c r="G143" t="s">
        <v>20</v>
      </c>
      <c r="H143" t="s">
        <v>19</v>
      </c>
      <c r="I143" s="38">
        <v>678.6</v>
      </c>
      <c r="J143">
        <v>12</v>
      </c>
      <c r="K143">
        <v>0</v>
      </c>
    </row>
    <row r="144" hidden="1" spans="1:11">
      <c r="A144">
        <v>143</v>
      </c>
      <c r="B144">
        <v>42</v>
      </c>
      <c r="C144" t="s">
        <v>16</v>
      </c>
      <c r="D144" t="s">
        <v>17</v>
      </c>
      <c r="E144" t="s">
        <v>13</v>
      </c>
      <c r="F144" s="38">
        <v>3788</v>
      </c>
      <c r="G144" t="s">
        <v>20</v>
      </c>
      <c r="H144" t="s">
        <v>21</v>
      </c>
      <c r="I144" s="38">
        <v>2573.1</v>
      </c>
      <c r="J144">
        <v>12</v>
      </c>
      <c r="K144">
        <v>0</v>
      </c>
    </row>
    <row r="145" hidden="1" spans="1:11">
      <c r="A145">
        <v>144</v>
      </c>
      <c r="B145">
        <v>28</v>
      </c>
      <c r="C145" t="s">
        <v>16</v>
      </c>
      <c r="D145" t="s">
        <v>12</v>
      </c>
      <c r="E145" t="s">
        <v>13</v>
      </c>
      <c r="F145" s="38">
        <v>2515</v>
      </c>
      <c r="G145" t="s">
        <v>18</v>
      </c>
      <c r="H145" t="s">
        <v>21</v>
      </c>
      <c r="I145" s="38">
        <v>4959.9</v>
      </c>
      <c r="J145">
        <v>24</v>
      </c>
      <c r="K145">
        <v>0</v>
      </c>
    </row>
    <row r="146" hidden="1" spans="1:11">
      <c r="A146">
        <v>145</v>
      </c>
      <c r="B146">
        <v>55</v>
      </c>
      <c r="C146" t="s">
        <v>11</v>
      </c>
      <c r="D146" t="s">
        <v>17</v>
      </c>
      <c r="E146" t="s">
        <v>23</v>
      </c>
      <c r="F146" s="38">
        <v>3605</v>
      </c>
      <c r="G146" t="s">
        <v>20</v>
      </c>
      <c r="H146" t="s">
        <v>19</v>
      </c>
      <c r="I146" s="38">
        <v>13514.6</v>
      </c>
      <c r="J146">
        <v>48</v>
      </c>
      <c r="K146">
        <v>1</v>
      </c>
    </row>
    <row r="147" spans="1:11">
      <c r="A147">
        <v>146</v>
      </c>
      <c r="B147">
        <v>37</v>
      </c>
      <c r="C147" t="s">
        <v>11</v>
      </c>
      <c r="D147" t="s">
        <v>12</v>
      </c>
      <c r="E147" t="s">
        <v>13</v>
      </c>
      <c r="F147" s="38">
        <v>6208</v>
      </c>
      <c r="G147" t="s">
        <v>14</v>
      </c>
      <c r="H147" t="s">
        <v>15</v>
      </c>
      <c r="I147" s="38">
        <v>5095.8</v>
      </c>
      <c r="J147">
        <v>30</v>
      </c>
      <c r="K147">
        <v>0</v>
      </c>
    </row>
    <row r="148" hidden="1" spans="1:11">
      <c r="A148">
        <v>147</v>
      </c>
      <c r="B148">
        <v>31</v>
      </c>
      <c r="C148" t="s">
        <v>16</v>
      </c>
      <c r="D148" t="s">
        <v>12</v>
      </c>
      <c r="E148" t="s">
        <v>13</v>
      </c>
      <c r="F148" s="38">
        <v>5373</v>
      </c>
      <c r="G148" t="s">
        <v>14</v>
      </c>
      <c r="H148" t="s">
        <v>15</v>
      </c>
      <c r="I148" s="38">
        <v>4833.9</v>
      </c>
      <c r="J148">
        <v>36</v>
      </c>
      <c r="K148">
        <v>0</v>
      </c>
    </row>
    <row r="149" hidden="1" spans="1:11">
      <c r="A149">
        <v>148</v>
      </c>
      <c r="B149">
        <v>29</v>
      </c>
      <c r="C149" t="s">
        <v>16</v>
      </c>
      <c r="D149" t="s">
        <v>12</v>
      </c>
      <c r="E149" t="s">
        <v>23</v>
      </c>
      <c r="F149" s="38">
        <v>3878</v>
      </c>
      <c r="G149" t="s">
        <v>20</v>
      </c>
      <c r="H149" t="s">
        <v>25</v>
      </c>
      <c r="I149" s="38">
        <v>1249.6</v>
      </c>
      <c r="J149">
        <v>9</v>
      </c>
      <c r="K149">
        <v>1</v>
      </c>
    </row>
    <row r="150" hidden="1" spans="1:11">
      <c r="A150">
        <v>149</v>
      </c>
      <c r="B150">
        <v>36</v>
      </c>
      <c r="C150" t="s">
        <v>16</v>
      </c>
      <c r="D150" t="s">
        <v>17</v>
      </c>
      <c r="E150" t="s">
        <v>13</v>
      </c>
      <c r="F150" s="38">
        <v>2017</v>
      </c>
      <c r="G150" t="s">
        <v>20</v>
      </c>
      <c r="H150" t="s">
        <v>21</v>
      </c>
      <c r="I150" s="38">
        <v>14207.6</v>
      </c>
      <c r="J150">
        <v>18</v>
      </c>
      <c r="K150">
        <v>1</v>
      </c>
    </row>
    <row r="151" hidden="1" spans="1:11">
      <c r="A151">
        <v>150</v>
      </c>
      <c r="B151">
        <v>74</v>
      </c>
      <c r="C151" t="s">
        <v>11</v>
      </c>
      <c r="D151" t="s">
        <v>17</v>
      </c>
      <c r="E151" t="s">
        <v>13</v>
      </c>
      <c r="F151" s="38">
        <v>2373</v>
      </c>
      <c r="G151" t="s">
        <v>14</v>
      </c>
      <c r="H151" t="s">
        <v>25</v>
      </c>
      <c r="I151" s="38">
        <v>1079.1</v>
      </c>
      <c r="J151">
        <v>9</v>
      </c>
      <c r="K151">
        <v>0</v>
      </c>
    </row>
    <row r="152" hidden="1" spans="1:11">
      <c r="A152">
        <v>151</v>
      </c>
      <c r="B152">
        <v>23</v>
      </c>
      <c r="C152" t="s">
        <v>16</v>
      </c>
      <c r="D152" t="s">
        <v>24</v>
      </c>
      <c r="E152" t="s">
        <v>22</v>
      </c>
      <c r="F152" s="38">
        <v>3277</v>
      </c>
      <c r="G152" t="s">
        <v>14</v>
      </c>
      <c r="H152" t="s">
        <v>21</v>
      </c>
      <c r="I152" s="38">
        <v>2431</v>
      </c>
      <c r="J152">
        <v>10</v>
      </c>
      <c r="K152">
        <v>1</v>
      </c>
    </row>
    <row r="153" hidden="1" spans="1:11">
      <c r="A153">
        <v>152</v>
      </c>
      <c r="B153">
        <v>38</v>
      </c>
      <c r="C153" t="s">
        <v>16</v>
      </c>
      <c r="D153" t="s">
        <v>12</v>
      </c>
      <c r="E153" t="s">
        <v>13</v>
      </c>
      <c r="F153" s="38">
        <v>2867</v>
      </c>
      <c r="G153" t="s">
        <v>20</v>
      </c>
      <c r="H153" t="s">
        <v>15</v>
      </c>
      <c r="I153" s="38">
        <v>3790.6</v>
      </c>
      <c r="J153">
        <v>36</v>
      </c>
      <c r="K153">
        <v>1</v>
      </c>
    </row>
    <row r="154" spans="1:11">
      <c r="A154">
        <v>153</v>
      </c>
      <c r="B154">
        <v>61</v>
      </c>
      <c r="C154" t="s">
        <v>11</v>
      </c>
      <c r="D154" t="s">
        <v>12</v>
      </c>
      <c r="E154" t="s">
        <v>13</v>
      </c>
      <c r="F154" s="38">
        <v>6048</v>
      </c>
      <c r="G154" t="s">
        <v>14</v>
      </c>
      <c r="H154" t="s">
        <v>15</v>
      </c>
      <c r="I154" s="38">
        <v>1442.7</v>
      </c>
      <c r="J154">
        <v>24</v>
      </c>
      <c r="K154">
        <v>0</v>
      </c>
    </row>
    <row r="155" hidden="1" spans="1:11">
      <c r="A155">
        <v>154</v>
      </c>
      <c r="B155">
        <v>42</v>
      </c>
      <c r="C155" t="s">
        <v>16</v>
      </c>
      <c r="D155" t="s">
        <v>24</v>
      </c>
      <c r="E155" t="s">
        <v>13</v>
      </c>
      <c r="F155" s="38">
        <v>5300</v>
      </c>
      <c r="G155" t="s">
        <v>14</v>
      </c>
      <c r="H155" t="s">
        <v>15</v>
      </c>
      <c r="I155" s="38">
        <v>637.2</v>
      </c>
      <c r="J155">
        <v>12</v>
      </c>
      <c r="K155">
        <v>0</v>
      </c>
    </row>
    <row r="156" hidden="1" spans="1:11">
      <c r="A156">
        <v>155</v>
      </c>
      <c r="B156">
        <v>36</v>
      </c>
      <c r="C156" t="s">
        <v>16</v>
      </c>
      <c r="D156" t="s">
        <v>12</v>
      </c>
      <c r="E156" t="s">
        <v>13</v>
      </c>
      <c r="F156" s="38">
        <v>4345</v>
      </c>
      <c r="G156" t="s">
        <v>18</v>
      </c>
      <c r="H156" t="s">
        <v>21</v>
      </c>
      <c r="I156" s="38">
        <v>1326.6</v>
      </c>
      <c r="J156">
        <v>24</v>
      </c>
      <c r="K156">
        <v>0</v>
      </c>
    </row>
    <row r="157" hidden="1" spans="1:11">
      <c r="A157">
        <v>156</v>
      </c>
      <c r="B157">
        <v>31</v>
      </c>
      <c r="C157" t="s">
        <v>16</v>
      </c>
      <c r="D157" t="s">
        <v>12</v>
      </c>
      <c r="E157" t="s">
        <v>13</v>
      </c>
      <c r="F157" s="38">
        <v>2724</v>
      </c>
      <c r="G157" t="s">
        <v>14</v>
      </c>
      <c r="H157" t="s">
        <v>21</v>
      </c>
      <c r="I157" s="38">
        <v>2055.6</v>
      </c>
      <c r="J157">
        <v>24</v>
      </c>
      <c r="K157">
        <v>0</v>
      </c>
    </row>
    <row r="158" hidden="1" spans="1:11">
      <c r="A158">
        <v>157</v>
      </c>
      <c r="B158">
        <v>43</v>
      </c>
      <c r="C158" t="s">
        <v>16</v>
      </c>
      <c r="D158" t="s">
        <v>24</v>
      </c>
      <c r="E158" t="s">
        <v>13</v>
      </c>
      <c r="F158" s="38">
        <v>2385</v>
      </c>
      <c r="G158" t="s">
        <v>20</v>
      </c>
      <c r="H158" t="s">
        <v>21</v>
      </c>
      <c r="I158" s="38">
        <v>8492.4</v>
      </c>
      <c r="J158">
        <v>54</v>
      </c>
      <c r="K158">
        <v>0</v>
      </c>
    </row>
    <row r="159" spans="1:11">
      <c r="A159">
        <v>158</v>
      </c>
      <c r="B159">
        <v>50</v>
      </c>
      <c r="C159" t="s">
        <v>16</v>
      </c>
      <c r="D159" t="s">
        <v>24</v>
      </c>
      <c r="E159" t="s">
        <v>13</v>
      </c>
      <c r="F159" s="38">
        <v>6487</v>
      </c>
      <c r="G159" t="s">
        <v>14</v>
      </c>
      <c r="H159" t="s">
        <v>15</v>
      </c>
      <c r="I159" s="38">
        <v>305.1</v>
      </c>
      <c r="J159">
        <v>12</v>
      </c>
      <c r="K159">
        <v>0</v>
      </c>
    </row>
    <row r="160" hidden="1" spans="1:11">
      <c r="A160">
        <v>159</v>
      </c>
      <c r="B160">
        <v>39</v>
      </c>
      <c r="C160" t="s">
        <v>16</v>
      </c>
      <c r="D160" t="s">
        <v>12</v>
      </c>
      <c r="E160" t="s">
        <v>13</v>
      </c>
      <c r="F160" s="38">
        <v>3740</v>
      </c>
      <c r="G160" t="s">
        <v>18</v>
      </c>
      <c r="H160" t="s">
        <v>21</v>
      </c>
      <c r="I160" s="38">
        <v>2477.7</v>
      </c>
      <c r="J160">
        <v>9</v>
      </c>
      <c r="K160">
        <v>0</v>
      </c>
    </row>
    <row r="161" hidden="1" spans="1:11">
      <c r="A161">
        <v>160</v>
      </c>
      <c r="B161">
        <v>51</v>
      </c>
      <c r="C161" t="s">
        <v>16</v>
      </c>
      <c r="D161" t="s">
        <v>17</v>
      </c>
      <c r="E161" t="s">
        <v>23</v>
      </c>
      <c r="F161" s="38">
        <v>3057</v>
      </c>
      <c r="G161" t="s">
        <v>14</v>
      </c>
      <c r="H161" t="s">
        <v>25</v>
      </c>
      <c r="I161" s="38">
        <v>15749.8</v>
      </c>
      <c r="J161">
        <v>36</v>
      </c>
      <c r="K161">
        <v>1</v>
      </c>
    </row>
    <row r="162" hidden="1" spans="1:11">
      <c r="A162">
        <v>161</v>
      </c>
      <c r="B162">
        <v>21</v>
      </c>
      <c r="C162" t="s">
        <v>16</v>
      </c>
      <c r="D162" t="s">
        <v>17</v>
      </c>
      <c r="E162" t="s">
        <v>13</v>
      </c>
      <c r="F162" s="38">
        <v>2068</v>
      </c>
      <c r="G162" t="s">
        <v>20</v>
      </c>
      <c r="H162" t="s">
        <v>25</v>
      </c>
      <c r="I162" s="38">
        <v>1370.6</v>
      </c>
      <c r="J162">
        <v>24</v>
      </c>
      <c r="K162">
        <v>1</v>
      </c>
    </row>
    <row r="163" hidden="1" spans="1:11">
      <c r="A163">
        <v>162</v>
      </c>
      <c r="B163">
        <v>25</v>
      </c>
      <c r="C163" t="s">
        <v>11</v>
      </c>
      <c r="D163" t="s">
        <v>17</v>
      </c>
      <c r="E163" t="s">
        <v>22</v>
      </c>
      <c r="F163" s="38">
        <v>5070</v>
      </c>
      <c r="G163" t="s">
        <v>26</v>
      </c>
      <c r="H163" t="s">
        <v>25</v>
      </c>
      <c r="I163" s="38">
        <v>3382.2</v>
      </c>
      <c r="J163">
        <v>24</v>
      </c>
      <c r="K163">
        <v>0</v>
      </c>
    </row>
    <row r="164" hidden="1" spans="1:11">
      <c r="A164">
        <v>163</v>
      </c>
      <c r="B164">
        <v>34</v>
      </c>
      <c r="C164" t="s">
        <v>16</v>
      </c>
      <c r="D164" t="s">
        <v>12</v>
      </c>
      <c r="E164" t="s">
        <v>13</v>
      </c>
      <c r="F164" s="38">
        <v>5385</v>
      </c>
      <c r="G164" t="s">
        <v>20</v>
      </c>
      <c r="H164" t="s">
        <v>21</v>
      </c>
      <c r="I164" s="38">
        <v>3040.2</v>
      </c>
      <c r="J164">
        <v>18</v>
      </c>
      <c r="K164">
        <v>0</v>
      </c>
    </row>
    <row r="165" hidden="1" spans="1:11">
      <c r="A165">
        <v>164</v>
      </c>
      <c r="B165">
        <v>24</v>
      </c>
      <c r="C165" t="s">
        <v>16</v>
      </c>
      <c r="D165" t="s">
        <v>12</v>
      </c>
      <c r="E165" t="s">
        <v>13</v>
      </c>
      <c r="F165" s="38">
        <v>1928</v>
      </c>
      <c r="G165" t="s">
        <v>26</v>
      </c>
      <c r="H165" t="s">
        <v>15</v>
      </c>
      <c r="I165" s="38">
        <v>2545.2</v>
      </c>
      <c r="J165">
        <v>24</v>
      </c>
      <c r="K165">
        <v>0</v>
      </c>
    </row>
    <row r="166" hidden="1" spans="1:11">
      <c r="A166">
        <v>165</v>
      </c>
      <c r="B166">
        <v>40</v>
      </c>
      <c r="C166" t="s">
        <v>16</v>
      </c>
      <c r="D166" t="s">
        <v>24</v>
      </c>
      <c r="E166" t="s">
        <v>13</v>
      </c>
      <c r="F166" s="38">
        <v>4744</v>
      </c>
      <c r="G166" t="s">
        <v>20</v>
      </c>
      <c r="H166" t="s">
        <v>15</v>
      </c>
      <c r="I166" s="38">
        <v>2824.2</v>
      </c>
      <c r="J166">
        <v>15</v>
      </c>
      <c r="K166">
        <v>0</v>
      </c>
    </row>
    <row r="167" hidden="1" spans="1:11">
      <c r="A167">
        <v>166</v>
      </c>
      <c r="B167">
        <v>50</v>
      </c>
      <c r="C167" t="s">
        <v>16</v>
      </c>
      <c r="D167" t="s">
        <v>17</v>
      </c>
      <c r="E167" t="s">
        <v>13</v>
      </c>
      <c r="F167" s="38">
        <v>2400</v>
      </c>
      <c r="G167" t="s">
        <v>14</v>
      </c>
      <c r="H167" t="s">
        <v>21</v>
      </c>
      <c r="I167" s="38">
        <v>10100.2</v>
      </c>
      <c r="J167">
        <v>24</v>
      </c>
      <c r="K167">
        <v>1</v>
      </c>
    </row>
    <row r="168" hidden="1" spans="1:11">
      <c r="A168">
        <v>167</v>
      </c>
      <c r="B168">
        <v>22</v>
      </c>
      <c r="C168" t="s">
        <v>11</v>
      </c>
      <c r="D168" t="s">
        <v>12</v>
      </c>
      <c r="E168" t="s">
        <v>22</v>
      </c>
      <c r="F168" s="38">
        <v>4264</v>
      </c>
      <c r="G168" t="s">
        <v>14</v>
      </c>
      <c r="H168" t="s">
        <v>15</v>
      </c>
      <c r="I168" s="38">
        <v>2336.4</v>
      </c>
      <c r="J168">
        <v>18</v>
      </c>
      <c r="K168">
        <v>1</v>
      </c>
    </row>
    <row r="169" hidden="1" spans="1:11">
      <c r="A169">
        <v>168</v>
      </c>
      <c r="B169">
        <v>30</v>
      </c>
      <c r="C169" t="s">
        <v>16</v>
      </c>
      <c r="D169" t="s">
        <v>12</v>
      </c>
      <c r="E169" t="s">
        <v>13</v>
      </c>
      <c r="F169" s="38">
        <v>4658</v>
      </c>
      <c r="G169" t="s">
        <v>18</v>
      </c>
      <c r="H169" t="s">
        <v>25</v>
      </c>
      <c r="I169" s="38">
        <v>1795.5</v>
      </c>
      <c r="J169">
        <v>12</v>
      </c>
      <c r="K169">
        <v>0</v>
      </c>
    </row>
    <row r="170" hidden="1" spans="1:11">
      <c r="A170">
        <v>169</v>
      </c>
      <c r="B170">
        <v>23</v>
      </c>
      <c r="C170" t="s">
        <v>11</v>
      </c>
      <c r="D170" t="s">
        <v>24</v>
      </c>
      <c r="E170" t="s">
        <v>22</v>
      </c>
      <c r="F170" s="38">
        <v>3750</v>
      </c>
      <c r="G170" t="s">
        <v>20</v>
      </c>
      <c r="H170" t="s">
        <v>25</v>
      </c>
      <c r="I170" s="38">
        <v>4708</v>
      </c>
      <c r="J170">
        <v>30</v>
      </c>
      <c r="K170">
        <v>1</v>
      </c>
    </row>
    <row r="171" hidden="1" spans="1:11">
      <c r="A171">
        <v>170</v>
      </c>
      <c r="B171">
        <v>39</v>
      </c>
      <c r="C171" t="s">
        <v>16</v>
      </c>
      <c r="D171" t="s">
        <v>17</v>
      </c>
      <c r="E171" t="s">
        <v>13</v>
      </c>
      <c r="F171" s="38">
        <v>3768</v>
      </c>
      <c r="G171" t="s">
        <v>14</v>
      </c>
      <c r="H171" t="s">
        <v>21</v>
      </c>
      <c r="I171" s="38">
        <v>6527.7</v>
      </c>
      <c r="J171">
        <v>33</v>
      </c>
      <c r="K171">
        <v>0</v>
      </c>
    </row>
    <row r="172" hidden="1" spans="1:11">
      <c r="A172">
        <v>171</v>
      </c>
      <c r="B172">
        <v>40</v>
      </c>
      <c r="C172" t="s">
        <v>11</v>
      </c>
      <c r="D172" t="s">
        <v>12</v>
      </c>
      <c r="E172" t="s">
        <v>13</v>
      </c>
      <c r="F172" s="38">
        <v>2733</v>
      </c>
      <c r="G172" t="s">
        <v>14</v>
      </c>
      <c r="H172" t="s">
        <v>21</v>
      </c>
      <c r="I172" s="38">
        <v>925.2</v>
      </c>
      <c r="J172">
        <v>18</v>
      </c>
      <c r="K172">
        <v>0</v>
      </c>
    </row>
    <row r="173" hidden="1" spans="1:11">
      <c r="A173">
        <v>172</v>
      </c>
      <c r="B173">
        <v>47</v>
      </c>
      <c r="C173" t="s">
        <v>16</v>
      </c>
      <c r="D173" t="s">
        <v>12</v>
      </c>
      <c r="E173" t="s">
        <v>13</v>
      </c>
      <c r="F173" s="38">
        <v>3305</v>
      </c>
      <c r="G173" t="s">
        <v>20</v>
      </c>
      <c r="H173" t="s">
        <v>21</v>
      </c>
      <c r="I173" s="38">
        <v>1977.3</v>
      </c>
      <c r="J173">
        <v>24</v>
      </c>
      <c r="K173">
        <v>0</v>
      </c>
    </row>
    <row r="174" hidden="1" spans="1:11">
      <c r="A174">
        <v>173</v>
      </c>
      <c r="B174">
        <v>31</v>
      </c>
      <c r="C174" t="s">
        <v>11</v>
      </c>
      <c r="D174" t="s">
        <v>12</v>
      </c>
      <c r="E174" t="s">
        <v>13</v>
      </c>
      <c r="F174" s="38">
        <v>4258</v>
      </c>
      <c r="G174" t="s">
        <v>14</v>
      </c>
      <c r="H174" t="s">
        <v>21</v>
      </c>
      <c r="I174" s="38">
        <v>1243.8</v>
      </c>
      <c r="J174">
        <v>6</v>
      </c>
      <c r="K174">
        <v>0</v>
      </c>
    </row>
    <row r="175" hidden="1" spans="1:11">
      <c r="A175">
        <v>174</v>
      </c>
      <c r="B175">
        <v>34</v>
      </c>
      <c r="C175" t="s">
        <v>16</v>
      </c>
      <c r="D175" t="s">
        <v>12</v>
      </c>
      <c r="E175" t="s">
        <v>13</v>
      </c>
      <c r="F175" s="38">
        <v>1795</v>
      </c>
      <c r="G175" t="s">
        <v>18</v>
      </c>
      <c r="H175" t="s">
        <v>25</v>
      </c>
      <c r="I175" s="38">
        <v>1304.1</v>
      </c>
      <c r="J175">
        <v>6</v>
      </c>
      <c r="K175">
        <v>0</v>
      </c>
    </row>
    <row r="176" hidden="1" spans="1:11">
      <c r="A176">
        <v>175</v>
      </c>
      <c r="B176">
        <v>37</v>
      </c>
      <c r="C176" t="s">
        <v>16</v>
      </c>
      <c r="D176" t="s">
        <v>12</v>
      </c>
      <c r="E176" t="s">
        <v>13</v>
      </c>
      <c r="F176" s="38">
        <v>1677</v>
      </c>
      <c r="G176" t="s">
        <v>14</v>
      </c>
      <c r="H176" t="s">
        <v>15</v>
      </c>
      <c r="I176" s="38">
        <v>2983.2</v>
      </c>
      <c r="J176">
        <v>36</v>
      </c>
      <c r="K176">
        <v>1</v>
      </c>
    </row>
    <row r="177" hidden="1" spans="1:11">
      <c r="A177">
        <v>176</v>
      </c>
      <c r="B177">
        <v>29</v>
      </c>
      <c r="C177" t="s">
        <v>16</v>
      </c>
      <c r="D177" t="s">
        <v>12</v>
      </c>
      <c r="E177" t="s">
        <v>13</v>
      </c>
      <c r="F177" s="38">
        <v>1864</v>
      </c>
      <c r="G177" t="s">
        <v>18</v>
      </c>
      <c r="H177" t="s">
        <v>21</v>
      </c>
      <c r="I177" s="38">
        <v>1179.9</v>
      </c>
      <c r="J177">
        <v>24</v>
      </c>
      <c r="K177">
        <v>0</v>
      </c>
    </row>
    <row r="178" spans="1:11">
      <c r="A178">
        <v>177</v>
      </c>
      <c r="B178">
        <v>25</v>
      </c>
      <c r="C178" t="s">
        <v>11</v>
      </c>
      <c r="D178" t="s">
        <v>12</v>
      </c>
      <c r="E178" t="s">
        <v>22</v>
      </c>
      <c r="F178" s="38">
        <v>6570</v>
      </c>
      <c r="G178" t="s">
        <v>14</v>
      </c>
      <c r="H178" t="s">
        <v>21</v>
      </c>
      <c r="I178" s="38">
        <v>1112.4</v>
      </c>
      <c r="J178">
        <v>9</v>
      </c>
      <c r="K178">
        <v>0</v>
      </c>
    </row>
    <row r="179" spans="1:11">
      <c r="A179">
        <v>178</v>
      </c>
      <c r="B179">
        <v>31</v>
      </c>
      <c r="C179" t="s">
        <v>16</v>
      </c>
      <c r="D179" t="s">
        <v>24</v>
      </c>
      <c r="E179" t="s">
        <v>22</v>
      </c>
      <c r="F179" s="38">
        <v>6681</v>
      </c>
      <c r="G179" t="s">
        <v>14</v>
      </c>
      <c r="H179" t="s">
        <v>25</v>
      </c>
      <c r="I179" s="38">
        <v>5634</v>
      </c>
      <c r="J179">
        <v>18</v>
      </c>
      <c r="K179">
        <v>0</v>
      </c>
    </row>
    <row r="180" hidden="1" spans="1:11">
      <c r="A180">
        <v>179</v>
      </c>
      <c r="B180">
        <v>72</v>
      </c>
      <c r="C180" t="s">
        <v>16</v>
      </c>
      <c r="D180" t="s">
        <v>12</v>
      </c>
      <c r="E180" t="s">
        <v>13</v>
      </c>
      <c r="F180" s="38">
        <v>5546</v>
      </c>
      <c r="G180" t="s">
        <v>20</v>
      </c>
      <c r="H180" t="s">
        <v>21</v>
      </c>
      <c r="I180" s="38">
        <v>837</v>
      </c>
      <c r="J180">
        <v>12</v>
      </c>
      <c r="K180">
        <v>0</v>
      </c>
    </row>
    <row r="181" hidden="1" spans="1:11">
      <c r="A181">
        <v>180</v>
      </c>
      <c r="B181">
        <v>55</v>
      </c>
      <c r="C181" t="s">
        <v>16</v>
      </c>
      <c r="D181" t="s">
        <v>24</v>
      </c>
      <c r="E181" t="s">
        <v>22</v>
      </c>
      <c r="F181" s="38">
        <v>1673</v>
      </c>
      <c r="G181" t="s">
        <v>18</v>
      </c>
      <c r="H181" t="s">
        <v>25</v>
      </c>
      <c r="I181" s="38">
        <v>3043.7</v>
      </c>
      <c r="J181">
        <v>21</v>
      </c>
      <c r="K181">
        <v>1</v>
      </c>
    </row>
    <row r="182" hidden="1" spans="1:11">
      <c r="A182">
        <v>181</v>
      </c>
      <c r="B182">
        <v>21</v>
      </c>
      <c r="C182" t="s">
        <v>16</v>
      </c>
      <c r="D182" t="s">
        <v>12</v>
      </c>
      <c r="E182" t="s">
        <v>13</v>
      </c>
      <c r="F182" s="38">
        <v>3569</v>
      </c>
      <c r="G182" t="s">
        <v>14</v>
      </c>
      <c r="H182" t="s">
        <v>25</v>
      </c>
      <c r="I182" s="38">
        <v>17239.2</v>
      </c>
      <c r="J182">
        <v>48</v>
      </c>
      <c r="K182">
        <v>1</v>
      </c>
    </row>
    <row r="183" hidden="1" spans="1:11">
      <c r="A183">
        <v>182</v>
      </c>
      <c r="B183">
        <v>32</v>
      </c>
      <c r="C183" t="s">
        <v>11</v>
      </c>
      <c r="D183" t="s">
        <v>12</v>
      </c>
      <c r="E183" t="s">
        <v>13</v>
      </c>
      <c r="F183" s="38">
        <v>2138</v>
      </c>
      <c r="G183" t="s">
        <v>20</v>
      </c>
      <c r="H183" t="s">
        <v>19</v>
      </c>
      <c r="I183" s="38">
        <v>3087</v>
      </c>
      <c r="J183">
        <v>30</v>
      </c>
      <c r="K183">
        <v>0</v>
      </c>
    </row>
    <row r="184" hidden="1" spans="1:11">
      <c r="A184">
        <v>183</v>
      </c>
      <c r="B184">
        <v>44</v>
      </c>
      <c r="C184" t="s">
        <v>16</v>
      </c>
      <c r="D184" t="s">
        <v>12</v>
      </c>
      <c r="E184" t="s">
        <v>22</v>
      </c>
      <c r="F184" s="38">
        <v>4586</v>
      </c>
      <c r="G184" t="s">
        <v>20</v>
      </c>
      <c r="H184" t="s">
        <v>21</v>
      </c>
      <c r="I184" s="38">
        <v>7041.6</v>
      </c>
      <c r="J184">
        <v>28</v>
      </c>
      <c r="K184">
        <v>0</v>
      </c>
    </row>
    <row r="185" hidden="1" spans="1:11">
      <c r="A185">
        <v>184</v>
      </c>
      <c r="B185">
        <v>61</v>
      </c>
      <c r="C185" t="s">
        <v>16</v>
      </c>
      <c r="D185" t="s">
        <v>17</v>
      </c>
      <c r="E185" t="s">
        <v>13</v>
      </c>
      <c r="F185" s="38">
        <v>3366</v>
      </c>
      <c r="G185" t="s">
        <v>20</v>
      </c>
      <c r="H185" t="s">
        <v>15</v>
      </c>
      <c r="I185" s="38">
        <v>4197.6</v>
      </c>
      <c r="J185">
        <v>30</v>
      </c>
      <c r="K185">
        <v>1</v>
      </c>
    </row>
    <row r="186" hidden="1" spans="1:11">
      <c r="A186">
        <v>185</v>
      </c>
      <c r="B186">
        <v>27</v>
      </c>
      <c r="C186" t="s">
        <v>16</v>
      </c>
      <c r="D186" t="s">
        <v>12</v>
      </c>
      <c r="E186" t="s">
        <v>23</v>
      </c>
      <c r="F186" s="38">
        <v>3869</v>
      </c>
      <c r="G186" t="s">
        <v>26</v>
      </c>
      <c r="H186" t="s">
        <v>15</v>
      </c>
      <c r="I186" s="38">
        <v>3683.9</v>
      </c>
      <c r="J186">
        <v>24</v>
      </c>
      <c r="K186">
        <v>1</v>
      </c>
    </row>
    <row r="187" hidden="1" spans="1:11">
      <c r="A187">
        <v>186</v>
      </c>
      <c r="B187">
        <v>29</v>
      </c>
      <c r="C187" t="s">
        <v>16</v>
      </c>
      <c r="D187" t="s">
        <v>24</v>
      </c>
      <c r="E187" t="s">
        <v>23</v>
      </c>
      <c r="F187" s="38">
        <v>1714</v>
      </c>
      <c r="G187" t="s">
        <v>14</v>
      </c>
      <c r="H187" t="s">
        <v>15</v>
      </c>
      <c r="I187" s="38">
        <v>1586.2</v>
      </c>
      <c r="J187">
        <v>18</v>
      </c>
      <c r="K187">
        <v>1</v>
      </c>
    </row>
    <row r="188" hidden="1" spans="1:11">
      <c r="A188">
        <v>187</v>
      </c>
      <c r="B188">
        <v>30</v>
      </c>
      <c r="C188" t="s">
        <v>11</v>
      </c>
      <c r="D188" t="s">
        <v>12</v>
      </c>
      <c r="E188" t="s">
        <v>13</v>
      </c>
      <c r="F188" s="38">
        <v>2169</v>
      </c>
      <c r="G188" t="s">
        <v>14</v>
      </c>
      <c r="H188" t="s">
        <v>15</v>
      </c>
      <c r="I188" s="38">
        <v>2150.1</v>
      </c>
      <c r="J188">
        <v>18</v>
      </c>
      <c r="K188">
        <v>0</v>
      </c>
    </row>
    <row r="189" hidden="1" spans="1:11">
      <c r="A189">
        <v>188</v>
      </c>
      <c r="B189">
        <v>29</v>
      </c>
      <c r="C189" t="s">
        <v>16</v>
      </c>
      <c r="D189" t="s">
        <v>12</v>
      </c>
      <c r="E189" t="s">
        <v>13</v>
      </c>
      <c r="F189" s="38">
        <v>5487</v>
      </c>
      <c r="G189" t="s">
        <v>14</v>
      </c>
      <c r="H189" t="s">
        <v>25</v>
      </c>
      <c r="I189" s="38">
        <v>1080.9</v>
      </c>
      <c r="J189">
        <v>24</v>
      </c>
      <c r="K189">
        <v>0</v>
      </c>
    </row>
    <row r="190" hidden="1" spans="1:11">
      <c r="A190">
        <v>189</v>
      </c>
      <c r="B190">
        <v>39</v>
      </c>
      <c r="C190" t="s">
        <v>11</v>
      </c>
      <c r="D190" t="s">
        <v>12</v>
      </c>
      <c r="E190" t="s">
        <v>13</v>
      </c>
      <c r="F190" s="38">
        <v>4260</v>
      </c>
      <c r="G190" t="s">
        <v>14</v>
      </c>
      <c r="H190" t="s">
        <v>21</v>
      </c>
      <c r="I190" s="38">
        <v>1161.9</v>
      </c>
      <c r="J190">
        <v>12</v>
      </c>
      <c r="K190">
        <v>0</v>
      </c>
    </row>
    <row r="191" hidden="1" spans="1:11">
      <c r="A191">
        <v>190</v>
      </c>
      <c r="B191">
        <v>26</v>
      </c>
      <c r="C191" t="s">
        <v>11</v>
      </c>
      <c r="D191" t="s">
        <v>12</v>
      </c>
      <c r="E191" t="s">
        <v>13</v>
      </c>
      <c r="F191" s="38">
        <v>4113</v>
      </c>
      <c r="G191" t="s">
        <v>18</v>
      </c>
      <c r="H191" t="s">
        <v>15</v>
      </c>
      <c r="I191" s="38">
        <v>1006.5</v>
      </c>
      <c r="J191">
        <v>24</v>
      </c>
      <c r="K191">
        <v>1</v>
      </c>
    </row>
    <row r="192" hidden="1" spans="1:11">
      <c r="A192">
        <v>191</v>
      </c>
      <c r="B192">
        <v>22</v>
      </c>
      <c r="C192" t="s">
        <v>11</v>
      </c>
      <c r="D192" t="s">
        <v>12</v>
      </c>
      <c r="E192" t="s">
        <v>22</v>
      </c>
      <c r="F192" s="38">
        <v>3021</v>
      </c>
      <c r="G192" t="s">
        <v>18</v>
      </c>
      <c r="H192" t="s">
        <v>15</v>
      </c>
      <c r="I192" s="38">
        <v>4738.8</v>
      </c>
      <c r="J192">
        <v>48</v>
      </c>
      <c r="K192">
        <v>1</v>
      </c>
    </row>
    <row r="193" hidden="1" spans="1:11">
      <c r="A193">
        <v>192</v>
      </c>
      <c r="B193">
        <v>31</v>
      </c>
      <c r="C193" t="s">
        <v>16</v>
      </c>
      <c r="D193" t="s">
        <v>12</v>
      </c>
      <c r="E193" t="s">
        <v>13</v>
      </c>
      <c r="F193" s="38">
        <v>5721</v>
      </c>
      <c r="G193" t="s">
        <v>18</v>
      </c>
      <c r="H193" t="s">
        <v>19</v>
      </c>
      <c r="I193" s="38">
        <v>1190.7</v>
      </c>
      <c r="J193">
        <v>6</v>
      </c>
      <c r="K193">
        <v>0</v>
      </c>
    </row>
    <row r="194" hidden="1" spans="1:11">
      <c r="A194">
        <v>193</v>
      </c>
      <c r="B194">
        <v>43</v>
      </c>
      <c r="C194" t="s">
        <v>16</v>
      </c>
      <c r="D194" t="s">
        <v>24</v>
      </c>
      <c r="E194" t="s">
        <v>22</v>
      </c>
      <c r="F194" s="38">
        <v>5625</v>
      </c>
      <c r="G194" t="s">
        <v>14</v>
      </c>
      <c r="H194" t="s">
        <v>15</v>
      </c>
      <c r="I194" s="38">
        <v>1909.8</v>
      </c>
      <c r="J194">
        <v>12</v>
      </c>
      <c r="K194">
        <v>0</v>
      </c>
    </row>
    <row r="195" hidden="1" spans="1:11">
      <c r="A195">
        <v>194</v>
      </c>
      <c r="B195">
        <v>32</v>
      </c>
      <c r="C195" t="s">
        <v>11</v>
      </c>
      <c r="D195" t="s">
        <v>17</v>
      </c>
      <c r="E195" t="s">
        <v>13</v>
      </c>
      <c r="F195" s="38">
        <v>5840</v>
      </c>
      <c r="G195" t="s">
        <v>14</v>
      </c>
      <c r="H195" t="s">
        <v>21</v>
      </c>
      <c r="I195" s="38">
        <v>2411.1</v>
      </c>
      <c r="J195">
        <v>24</v>
      </c>
      <c r="K195">
        <v>0</v>
      </c>
    </row>
    <row r="196" hidden="1" spans="1:11">
      <c r="A196">
        <v>195</v>
      </c>
      <c r="B196">
        <v>33</v>
      </c>
      <c r="C196" t="s">
        <v>16</v>
      </c>
      <c r="D196" t="s">
        <v>17</v>
      </c>
      <c r="E196" t="s">
        <v>13</v>
      </c>
      <c r="F196" s="38">
        <v>4296</v>
      </c>
      <c r="G196" t="s">
        <v>14</v>
      </c>
      <c r="H196" t="s">
        <v>15</v>
      </c>
      <c r="I196" s="38">
        <v>8723</v>
      </c>
      <c r="J196">
        <v>42</v>
      </c>
      <c r="K196">
        <v>1</v>
      </c>
    </row>
    <row r="197" hidden="1" spans="1:11">
      <c r="A197">
        <v>196</v>
      </c>
      <c r="B197">
        <v>47</v>
      </c>
      <c r="C197" t="s">
        <v>16</v>
      </c>
      <c r="D197" t="s">
        <v>12</v>
      </c>
      <c r="E197" t="s">
        <v>13</v>
      </c>
      <c r="F197" s="38">
        <v>2840</v>
      </c>
      <c r="G197" t="s">
        <v>14</v>
      </c>
      <c r="H197" t="s">
        <v>21</v>
      </c>
      <c r="I197" s="38">
        <v>1741.5</v>
      </c>
      <c r="J197">
        <v>12</v>
      </c>
      <c r="K197">
        <v>0</v>
      </c>
    </row>
    <row r="198" hidden="1" spans="1:11">
      <c r="A198">
        <v>197</v>
      </c>
      <c r="B198">
        <v>31</v>
      </c>
      <c r="C198" t="s">
        <v>16</v>
      </c>
      <c r="D198" t="s">
        <v>24</v>
      </c>
      <c r="E198" t="s">
        <v>13</v>
      </c>
      <c r="F198" s="38">
        <v>4754</v>
      </c>
      <c r="G198" t="s">
        <v>14</v>
      </c>
      <c r="H198" t="s">
        <v>25</v>
      </c>
      <c r="I198" s="38">
        <v>435.6</v>
      </c>
      <c r="J198">
        <v>6</v>
      </c>
      <c r="K198">
        <v>0</v>
      </c>
    </row>
    <row r="199" hidden="1" spans="1:11">
      <c r="A199">
        <v>198</v>
      </c>
      <c r="B199">
        <v>28</v>
      </c>
      <c r="C199" t="s">
        <v>16</v>
      </c>
      <c r="D199" t="s">
        <v>12</v>
      </c>
      <c r="E199" t="s">
        <v>13</v>
      </c>
      <c r="F199" s="38">
        <v>2788</v>
      </c>
      <c r="G199" t="s">
        <v>20</v>
      </c>
      <c r="H199" t="s">
        <v>21</v>
      </c>
      <c r="I199" s="38">
        <v>899.1</v>
      </c>
      <c r="J199">
        <v>24</v>
      </c>
      <c r="K199">
        <v>0</v>
      </c>
    </row>
    <row r="200" hidden="1" spans="1:11">
      <c r="A200">
        <v>199</v>
      </c>
      <c r="B200">
        <v>39</v>
      </c>
      <c r="C200" t="s">
        <v>16</v>
      </c>
      <c r="D200" t="s">
        <v>12</v>
      </c>
      <c r="E200" t="s">
        <v>22</v>
      </c>
      <c r="F200" s="38">
        <v>4170</v>
      </c>
      <c r="G200" t="s">
        <v>14</v>
      </c>
      <c r="H200" t="s">
        <v>15</v>
      </c>
      <c r="I200" s="38">
        <v>5327.3</v>
      </c>
      <c r="J200">
        <v>12</v>
      </c>
      <c r="K200">
        <v>1</v>
      </c>
    </row>
    <row r="201" spans="1:11">
      <c r="A201">
        <v>200</v>
      </c>
      <c r="B201">
        <v>32</v>
      </c>
      <c r="C201" t="s">
        <v>11</v>
      </c>
      <c r="D201" t="s">
        <v>17</v>
      </c>
      <c r="E201" t="s">
        <v>13</v>
      </c>
      <c r="F201" s="38">
        <v>6743</v>
      </c>
      <c r="G201" t="s">
        <v>18</v>
      </c>
      <c r="H201" t="s">
        <v>19</v>
      </c>
      <c r="I201" s="38">
        <v>5261.4</v>
      </c>
      <c r="J201">
        <v>21</v>
      </c>
      <c r="K201">
        <v>0</v>
      </c>
    </row>
    <row r="202" hidden="1" spans="1:11">
      <c r="A202">
        <v>201</v>
      </c>
      <c r="B202">
        <v>31</v>
      </c>
      <c r="C202" t="s">
        <v>16</v>
      </c>
      <c r="D202" t="s">
        <v>24</v>
      </c>
      <c r="E202" t="s">
        <v>13</v>
      </c>
      <c r="F202" s="38">
        <v>1839</v>
      </c>
      <c r="G202" t="s">
        <v>14</v>
      </c>
      <c r="H202" t="s">
        <v>21</v>
      </c>
      <c r="I202" s="38">
        <v>2693.7</v>
      </c>
      <c r="J202">
        <v>21</v>
      </c>
      <c r="K202">
        <v>0</v>
      </c>
    </row>
    <row r="203" spans="1:11">
      <c r="A203">
        <v>202</v>
      </c>
      <c r="B203">
        <v>35</v>
      </c>
      <c r="C203" t="s">
        <v>16</v>
      </c>
      <c r="D203" t="s">
        <v>12</v>
      </c>
      <c r="E203" t="s">
        <v>13</v>
      </c>
      <c r="F203" s="38">
        <v>6607</v>
      </c>
      <c r="G203" t="s">
        <v>18</v>
      </c>
      <c r="H203" t="s">
        <v>21</v>
      </c>
      <c r="I203" s="38">
        <v>2563.2</v>
      </c>
      <c r="J203">
        <v>10</v>
      </c>
      <c r="K203">
        <v>0</v>
      </c>
    </row>
    <row r="204" hidden="1" spans="1:11">
      <c r="A204">
        <v>203</v>
      </c>
      <c r="B204">
        <v>36</v>
      </c>
      <c r="C204" t="s">
        <v>16</v>
      </c>
      <c r="D204" t="s">
        <v>24</v>
      </c>
      <c r="E204" t="s">
        <v>13</v>
      </c>
      <c r="F204" s="38">
        <v>3843</v>
      </c>
      <c r="G204" t="s">
        <v>18</v>
      </c>
      <c r="H204" t="s">
        <v>15</v>
      </c>
      <c r="I204" s="38">
        <v>1811.7</v>
      </c>
      <c r="J204">
        <v>21</v>
      </c>
      <c r="K204">
        <v>1</v>
      </c>
    </row>
    <row r="205" hidden="1" spans="1:11">
      <c r="A205">
        <v>204</v>
      </c>
      <c r="B205">
        <v>34</v>
      </c>
      <c r="C205" t="s">
        <v>16</v>
      </c>
      <c r="D205" t="s">
        <v>12</v>
      </c>
      <c r="E205" t="s">
        <v>13</v>
      </c>
      <c r="F205" s="38">
        <v>3499</v>
      </c>
      <c r="G205" t="s">
        <v>26</v>
      </c>
      <c r="H205" t="s">
        <v>15</v>
      </c>
      <c r="I205" s="38">
        <v>3285.9</v>
      </c>
      <c r="J205">
        <v>12</v>
      </c>
      <c r="K205">
        <v>0</v>
      </c>
    </row>
    <row r="206" hidden="1" spans="1:11">
      <c r="A206">
        <v>205</v>
      </c>
      <c r="B206">
        <v>35</v>
      </c>
      <c r="C206" t="s">
        <v>16</v>
      </c>
      <c r="D206" t="s">
        <v>24</v>
      </c>
      <c r="E206" t="s">
        <v>13</v>
      </c>
      <c r="F206" s="38">
        <v>4647</v>
      </c>
      <c r="G206" t="s">
        <v>26</v>
      </c>
      <c r="H206" t="s">
        <v>21</v>
      </c>
      <c r="I206" s="38">
        <v>4073.4</v>
      </c>
      <c r="J206">
        <v>27</v>
      </c>
      <c r="K206">
        <v>0</v>
      </c>
    </row>
    <row r="207" hidden="1" spans="1:11">
      <c r="A207">
        <v>206</v>
      </c>
      <c r="B207">
        <v>23</v>
      </c>
      <c r="C207" t="s">
        <v>16</v>
      </c>
      <c r="D207" t="s">
        <v>12</v>
      </c>
      <c r="E207" t="s">
        <v>13</v>
      </c>
      <c r="F207" s="38">
        <v>1565</v>
      </c>
      <c r="G207" t="s">
        <v>14</v>
      </c>
      <c r="H207" t="s">
        <v>25</v>
      </c>
      <c r="I207" s="38">
        <v>5426.3</v>
      </c>
      <c r="J207">
        <v>39</v>
      </c>
      <c r="K207">
        <v>1</v>
      </c>
    </row>
    <row r="208" hidden="1" spans="1:11">
      <c r="A208">
        <v>207</v>
      </c>
      <c r="B208">
        <v>33</v>
      </c>
      <c r="C208" t="s">
        <v>16</v>
      </c>
      <c r="D208" t="s">
        <v>17</v>
      </c>
      <c r="E208" t="s">
        <v>13</v>
      </c>
      <c r="F208" s="38">
        <v>3455</v>
      </c>
      <c r="G208" t="s">
        <v>20</v>
      </c>
      <c r="H208" t="s">
        <v>15</v>
      </c>
      <c r="I208" s="38">
        <v>12761.1</v>
      </c>
      <c r="J208">
        <v>39</v>
      </c>
      <c r="K208">
        <v>0</v>
      </c>
    </row>
    <row r="209" hidden="1" spans="1:11">
      <c r="A209">
        <v>208</v>
      </c>
      <c r="B209">
        <v>33</v>
      </c>
      <c r="C209" t="s">
        <v>16</v>
      </c>
      <c r="D209" t="s">
        <v>12</v>
      </c>
      <c r="E209" t="s">
        <v>13</v>
      </c>
      <c r="F209" s="38">
        <v>5107</v>
      </c>
      <c r="G209" t="s">
        <v>14</v>
      </c>
      <c r="H209" t="s">
        <v>21</v>
      </c>
      <c r="I209" s="38">
        <v>636.3</v>
      </c>
      <c r="J209">
        <v>12</v>
      </c>
      <c r="K209">
        <v>0</v>
      </c>
    </row>
    <row r="210" hidden="1" spans="1:11">
      <c r="A210">
        <v>209</v>
      </c>
      <c r="B210">
        <v>52</v>
      </c>
      <c r="C210" t="s">
        <v>16</v>
      </c>
      <c r="D210" t="s">
        <v>12</v>
      </c>
      <c r="E210" t="s">
        <v>13</v>
      </c>
      <c r="F210" s="38">
        <v>2746</v>
      </c>
      <c r="G210" t="s">
        <v>14</v>
      </c>
      <c r="H210" t="s">
        <v>25</v>
      </c>
      <c r="I210" s="38">
        <v>2117.7</v>
      </c>
      <c r="J210">
        <v>21</v>
      </c>
      <c r="K210">
        <v>0</v>
      </c>
    </row>
    <row r="211" hidden="1" spans="1:11">
      <c r="A211">
        <v>210</v>
      </c>
      <c r="B211">
        <v>32</v>
      </c>
      <c r="C211" t="s">
        <v>16</v>
      </c>
      <c r="D211" t="s">
        <v>12</v>
      </c>
      <c r="E211" t="s">
        <v>13</v>
      </c>
      <c r="F211" s="38">
        <v>5838</v>
      </c>
      <c r="G211" t="s">
        <v>20</v>
      </c>
      <c r="H211" t="s">
        <v>21</v>
      </c>
      <c r="I211" s="38">
        <v>3200.4</v>
      </c>
      <c r="J211">
        <v>15</v>
      </c>
      <c r="K211">
        <v>0</v>
      </c>
    </row>
    <row r="212" hidden="1" spans="1:11">
      <c r="A212">
        <v>211</v>
      </c>
      <c r="B212">
        <v>20</v>
      </c>
      <c r="C212" t="s">
        <v>11</v>
      </c>
      <c r="D212" t="s">
        <v>12</v>
      </c>
      <c r="E212" t="s">
        <v>13</v>
      </c>
      <c r="F212" s="38">
        <v>1898</v>
      </c>
      <c r="G212" t="s">
        <v>14</v>
      </c>
      <c r="H212" t="s">
        <v>25</v>
      </c>
      <c r="I212" s="38">
        <v>1837</v>
      </c>
      <c r="J212">
        <v>9</v>
      </c>
      <c r="K212">
        <v>1</v>
      </c>
    </row>
    <row r="213" hidden="1" spans="1:11">
      <c r="A213">
        <v>212</v>
      </c>
      <c r="B213">
        <v>30</v>
      </c>
      <c r="C213" t="s">
        <v>11</v>
      </c>
      <c r="D213" t="s">
        <v>17</v>
      </c>
      <c r="E213" t="s">
        <v>13</v>
      </c>
      <c r="F213" s="38">
        <v>1818</v>
      </c>
      <c r="G213" t="s">
        <v>14</v>
      </c>
      <c r="H213" t="s">
        <v>25</v>
      </c>
      <c r="I213" s="38">
        <v>1369.5</v>
      </c>
      <c r="J213">
        <v>18</v>
      </c>
      <c r="K213">
        <v>1</v>
      </c>
    </row>
    <row r="214" hidden="1" spans="1:11">
      <c r="A214">
        <v>213</v>
      </c>
      <c r="B214">
        <v>25</v>
      </c>
      <c r="C214" t="s">
        <v>11</v>
      </c>
      <c r="D214" t="s">
        <v>12</v>
      </c>
      <c r="E214" t="s">
        <v>13</v>
      </c>
      <c r="F214" s="38">
        <v>3487</v>
      </c>
      <c r="G214" t="s">
        <v>14</v>
      </c>
      <c r="H214" t="s">
        <v>19</v>
      </c>
      <c r="I214" s="38">
        <v>1147.5</v>
      </c>
      <c r="J214">
        <v>10</v>
      </c>
      <c r="K214">
        <v>0</v>
      </c>
    </row>
    <row r="215" hidden="1" spans="1:11">
      <c r="A215">
        <v>214</v>
      </c>
      <c r="B215">
        <v>44</v>
      </c>
      <c r="C215" t="s">
        <v>16</v>
      </c>
      <c r="D215" t="s">
        <v>24</v>
      </c>
      <c r="E215" t="s">
        <v>13</v>
      </c>
      <c r="F215" s="38">
        <v>2615</v>
      </c>
      <c r="G215" t="s">
        <v>14</v>
      </c>
      <c r="H215" t="s">
        <v>15</v>
      </c>
      <c r="I215" s="38">
        <v>1224.9</v>
      </c>
      <c r="J215">
        <v>6</v>
      </c>
      <c r="K215">
        <v>0</v>
      </c>
    </row>
    <row r="216" spans="1:11">
      <c r="A216">
        <v>215</v>
      </c>
      <c r="B216">
        <v>46</v>
      </c>
      <c r="C216" t="s">
        <v>16</v>
      </c>
      <c r="D216" t="s">
        <v>12</v>
      </c>
      <c r="E216" t="s">
        <v>13</v>
      </c>
      <c r="F216" s="38">
        <v>6168</v>
      </c>
      <c r="G216" t="s">
        <v>14</v>
      </c>
      <c r="H216" t="s">
        <v>21</v>
      </c>
      <c r="I216" s="38">
        <v>2997.9</v>
      </c>
      <c r="J216">
        <v>12</v>
      </c>
      <c r="K216">
        <v>0</v>
      </c>
    </row>
    <row r="217" hidden="1" spans="1:11">
      <c r="A217">
        <v>216</v>
      </c>
      <c r="B217">
        <v>21</v>
      </c>
      <c r="C217" t="s">
        <v>11</v>
      </c>
      <c r="D217" t="s">
        <v>12</v>
      </c>
      <c r="E217" t="s">
        <v>22</v>
      </c>
      <c r="F217" s="38">
        <v>3077</v>
      </c>
      <c r="G217" t="s">
        <v>14</v>
      </c>
      <c r="H217" t="s">
        <v>15</v>
      </c>
      <c r="I217" s="38">
        <v>2646.6</v>
      </c>
      <c r="J217">
        <v>30</v>
      </c>
      <c r="K217">
        <v>1</v>
      </c>
    </row>
    <row r="218" hidden="1" spans="1:11">
      <c r="A218">
        <v>217</v>
      </c>
      <c r="B218">
        <v>36</v>
      </c>
      <c r="C218" t="s">
        <v>11</v>
      </c>
      <c r="D218" t="s">
        <v>12</v>
      </c>
      <c r="E218" t="s">
        <v>13</v>
      </c>
      <c r="F218" s="38">
        <v>4922</v>
      </c>
      <c r="G218" t="s">
        <v>20</v>
      </c>
      <c r="H218" t="s">
        <v>21</v>
      </c>
      <c r="I218" s="38">
        <v>1734.3</v>
      </c>
      <c r="J218">
        <v>24</v>
      </c>
      <c r="K218">
        <v>0</v>
      </c>
    </row>
    <row r="219" hidden="1" spans="1:11">
      <c r="A219">
        <v>218</v>
      </c>
      <c r="B219">
        <v>45</v>
      </c>
      <c r="C219" t="s">
        <v>16</v>
      </c>
      <c r="D219" t="s">
        <v>12</v>
      </c>
      <c r="E219" t="s">
        <v>23</v>
      </c>
      <c r="F219" s="38">
        <v>3708</v>
      </c>
      <c r="G219" t="s">
        <v>14</v>
      </c>
      <c r="H219" t="s">
        <v>25</v>
      </c>
      <c r="I219" s="38">
        <v>6846.4</v>
      </c>
      <c r="J219">
        <v>48</v>
      </c>
      <c r="K219">
        <v>1</v>
      </c>
    </row>
    <row r="220" hidden="1" spans="1:11">
      <c r="A220">
        <v>219</v>
      </c>
      <c r="B220">
        <v>25</v>
      </c>
      <c r="C220" t="s">
        <v>16</v>
      </c>
      <c r="D220" t="s">
        <v>12</v>
      </c>
      <c r="E220" t="s">
        <v>22</v>
      </c>
      <c r="F220" s="38">
        <v>1331</v>
      </c>
      <c r="G220" t="s">
        <v>14</v>
      </c>
      <c r="H220" t="s">
        <v>15</v>
      </c>
      <c r="I220" s="38">
        <v>6818.9</v>
      </c>
      <c r="J220">
        <v>12</v>
      </c>
      <c r="K220">
        <v>1</v>
      </c>
    </row>
    <row r="221" hidden="1" spans="1:11">
      <c r="A221">
        <v>220</v>
      </c>
      <c r="B221">
        <v>64</v>
      </c>
      <c r="C221" t="s">
        <v>11</v>
      </c>
      <c r="D221" t="s">
        <v>24</v>
      </c>
      <c r="E221" t="s">
        <v>13</v>
      </c>
      <c r="F221" s="38">
        <v>4875</v>
      </c>
      <c r="G221" t="s">
        <v>14</v>
      </c>
      <c r="H221" t="s">
        <v>15</v>
      </c>
      <c r="I221" s="38">
        <v>1579.5</v>
      </c>
      <c r="J221">
        <v>24</v>
      </c>
      <c r="K221">
        <v>0</v>
      </c>
    </row>
    <row r="222" hidden="1" spans="1:11">
      <c r="A222">
        <v>221</v>
      </c>
      <c r="B222">
        <v>81</v>
      </c>
      <c r="C222" t="s">
        <v>16</v>
      </c>
      <c r="D222" t="s">
        <v>17</v>
      </c>
      <c r="E222" t="s">
        <v>13</v>
      </c>
      <c r="F222" s="38">
        <v>2846</v>
      </c>
      <c r="G222" t="s">
        <v>14</v>
      </c>
      <c r="H222" t="s">
        <v>19</v>
      </c>
      <c r="I222" s="38">
        <v>1169.1</v>
      </c>
      <c r="J222">
        <v>6</v>
      </c>
      <c r="K222">
        <v>0</v>
      </c>
    </row>
    <row r="223" hidden="1" spans="1:11">
      <c r="A223">
        <v>222</v>
      </c>
      <c r="B223">
        <v>42</v>
      </c>
      <c r="C223" t="s">
        <v>16</v>
      </c>
      <c r="D223" t="s">
        <v>12</v>
      </c>
      <c r="E223" t="s">
        <v>23</v>
      </c>
      <c r="F223" s="38">
        <v>5126</v>
      </c>
      <c r="G223" t="s">
        <v>20</v>
      </c>
      <c r="H223" t="s">
        <v>19</v>
      </c>
      <c r="I223" s="38">
        <v>6012.9</v>
      </c>
      <c r="J223">
        <v>48</v>
      </c>
      <c r="K223">
        <v>0</v>
      </c>
    </row>
    <row r="224" hidden="1" spans="1:11">
      <c r="A224">
        <v>223</v>
      </c>
      <c r="B224">
        <v>39</v>
      </c>
      <c r="C224" t="s">
        <v>11</v>
      </c>
      <c r="D224" t="s">
        <v>12</v>
      </c>
      <c r="E224" t="s">
        <v>23</v>
      </c>
      <c r="F224" s="38">
        <v>3210</v>
      </c>
      <c r="G224" t="s">
        <v>26</v>
      </c>
      <c r="H224" t="s">
        <v>21</v>
      </c>
      <c r="I224" s="38">
        <v>4791.6</v>
      </c>
      <c r="J224">
        <v>15</v>
      </c>
      <c r="K224">
        <v>0</v>
      </c>
    </row>
    <row r="225" hidden="1" spans="1:11">
      <c r="A225">
        <v>224</v>
      </c>
      <c r="B225">
        <v>30</v>
      </c>
      <c r="C225" t="s">
        <v>16</v>
      </c>
      <c r="D225" t="s">
        <v>24</v>
      </c>
      <c r="E225" t="s">
        <v>13</v>
      </c>
      <c r="F225" s="38">
        <v>2007</v>
      </c>
      <c r="G225" t="s">
        <v>14</v>
      </c>
      <c r="H225" t="s">
        <v>21</v>
      </c>
      <c r="I225" s="38">
        <v>721.8</v>
      </c>
      <c r="J225">
        <v>14</v>
      </c>
      <c r="K225">
        <v>0</v>
      </c>
    </row>
    <row r="226" hidden="1" spans="1:11">
      <c r="A226">
        <v>225</v>
      </c>
      <c r="B226">
        <v>28</v>
      </c>
      <c r="C226" t="s">
        <v>16</v>
      </c>
      <c r="D226" t="s">
        <v>12</v>
      </c>
      <c r="E226" t="s">
        <v>13</v>
      </c>
      <c r="F226" s="38">
        <v>1739</v>
      </c>
      <c r="G226" t="s">
        <v>14</v>
      </c>
      <c r="H226" t="s">
        <v>15</v>
      </c>
      <c r="I226" s="38">
        <v>1922.4</v>
      </c>
      <c r="J226">
        <v>9</v>
      </c>
      <c r="K226">
        <v>0</v>
      </c>
    </row>
    <row r="227" hidden="1" spans="1:11">
      <c r="A227">
        <v>226</v>
      </c>
      <c r="B227">
        <v>39</v>
      </c>
      <c r="C227" t="s">
        <v>16</v>
      </c>
      <c r="D227" t="s">
        <v>24</v>
      </c>
      <c r="E227" t="s">
        <v>13</v>
      </c>
      <c r="F227" s="38">
        <v>2611</v>
      </c>
      <c r="G227" t="s">
        <v>26</v>
      </c>
      <c r="H227" t="s">
        <v>25</v>
      </c>
      <c r="I227" s="38">
        <v>1746.9</v>
      </c>
      <c r="J227">
        <v>18</v>
      </c>
      <c r="K227">
        <v>0</v>
      </c>
    </row>
    <row r="228" hidden="1" spans="1:11">
      <c r="A228">
        <v>227</v>
      </c>
      <c r="B228">
        <v>21</v>
      </c>
      <c r="C228" t="s">
        <v>16</v>
      </c>
      <c r="D228" t="s">
        <v>17</v>
      </c>
      <c r="E228" t="s">
        <v>13</v>
      </c>
      <c r="F228" s="38">
        <v>1970</v>
      </c>
      <c r="G228" t="s">
        <v>18</v>
      </c>
      <c r="H228" t="s">
        <v>19</v>
      </c>
      <c r="I228" s="38">
        <v>16010.5</v>
      </c>
      <c r="J228">
        <v>6</v>
      </c>
      <c r="K228">
        <v>1</v>
      </c>
    </row>
    <row r="229" hidden="1" spans="1:11">
      <c r="A229">
        <v>228</v>
      </c>
      <c r="B229">
        <v>30</v>
      </c>
      <c r="C229" t="s">
        <v>11</v>
      </c>
      <c r="D229" t="s">
        <v>24</v>
      </c>
      <c r="E229" t="s">
        <v>13</v>
      </c>
      <c r="F229" s="38">
        <v>3595</v>
      </c>
      <c r="G229" t="s">
        <v>14</v>
      </c>
      <c r="H229" t="s">
        <v>15</v>
      </c>
      <c r="I229" s="38">
        <v>3278.7</v>
      </c>
      <c r="J229">
        <v>15</v>
      </c>
      <c r="K229">
        <v>0</v>
      </c>
    </row>
    <row r="230" hidden="1" spans="1:11">
      <c r="A230">
        <v>229</v>
      </c>
      <c r="B230">
        <v>27</v>
      </c>
      <c r="C230" t="s">
        <v>11</v>
      </c>
      <c r="D230" t="s">
        <v>17</v>
      </c>
      <c r="E230" t="s">
        <v>13</v>
      </c>
      <c r="F230" s="38">
        <v>3547</v>
      </c>
      <c r="G230" t="s">
        <v>18</v>
      </c>
      <c r="H230" t="s">
        <v>15</v>
      </c>
      <c r="I230" s="38">
        <v>7891.4</v>
      </c>
      <c r="J230">
        <v>42</v>
      </c>
      <c r="K230">
        <v>1</v>
      </c>
    </row>
    <row r="231" hidden="1" spans="1:11">
      <c r="A231">
        <v>230</v>
      </c>
      <c r="B231">
        <v>33</v>
      </c>
      <c r="C231" t="s">
        <v>11</v>
      </c>
      <c r="D231" t="s">
        <v>17</v>
      </c>
      <c r="E231" t="s">
        <v>13</v>
      </c>
      <c r="F231" s="38">
        <v>2892</v>
      </c>
      <c r="G231" t="s">
        <v>18</v>
      </c>
      <c r="H231" t="s">
        <v>25</v>
      </c>
      <c r="I231" s="38">
        <v>882.2</v>
      </c>
      <c r="J231">
        <v>15</v>
      </c>
      <c r="K231">
        <v>1</v>
      </c>
    </row>
    <row r="232" hidden="1" spans="1:11">
      <c r="A232">
        <v>231</v>
      </c>
      <c r="B232">
        <v>50</v>
      </c>
      <c r="C232" t="s">
        <v>16</v>
      </c>
      <c r="D232" t="s">
        <v>12</v>
      </c>
      <c r="E232" t="s">
        <v>13</v>
      </c>
      <c r="F232" s="38">
        <v>5660</v>
      </c>
      <c r="G232" t="s">
        <v>14</v>
      </c>
      <c r="H232" t="s">
        <v>21</v>
      </c>
      <c r="I232" s="38">
        <v>9787.5</v>
      </c>
      <c r="J232">
        <v>36</v>
      </c>
      <c r="K232">
        <v>0</v>
      </c>
    </row>
    <row r="233" hidden="1" spans="1:11">
      <c r="A233">
        <v>232</v>
      </c>
      <c r="B233">
        <v>40</v>
      </c>
      <c r="C233" t="s">
        <v>16</v>
      </c>
      <c r="D233" t="s">
        <v>17</v>
      </c>
      <c r="E233" t="s">
        <v>23</v>
      </c>
      <c r="F233" s="38">
        <v>5635</v>
      </c>
      <c r="G233" t="s">
        <v>20</v>
      </c>
      <c r="H233" t="s">
        <v>19</v>
      </c>
      <c r="I233" s="38">
        <v>10952.1</v>
      </c>
      <c r="J233">
        <v>48</v>
      </c>
      <c r="K233">
        <v>0</v>
      </c>
    </row>
    <row r="234" hidden="1" spans="1:11">
      <c r="A234">
        <v>233</v>
      </c>
      <c r="B234">
        <v>39</v>
      </c>
      <c r="C234" t="s">
        <v>11</v>
      </c>
      <c r="D234" t="s">
        <v>17</v>
      </c>
      <c r="E234" t="s">
        <v>13</v>
      </c>
      <c r="F234" s="38">
        <v>4331</v>
      </c>
      <c r="G234" t="s">
        <v>20</v>
      </c>
      <c r="H234" t="s">
        <v>15</v>
      </c>
      <c r="I234" s="38">
        <v>4349.4</v>
      </c>
      <c r="J234">
        <v>36</v>
      </c>
      <c r="K234">
        <v>1</v>
      </c>
    </row>
    <row r="235" hidden="1" spans="1:11">
      <c r="A235">
        <v>234</v>
      </c>
      <c r="B235">
        <v>34</v>
      </c>
      <c r="C235" t="s">
        <v>16</v>
      </c>
      <c r="D235" t="s">
        <v>12</v>
      </c>
      <c r="E235" t="s">
        <v>13</v>
      </c>
      <c r="F235" s="38">
        <v>3981</v>
      </c>
      <c r="G235" t="s">
        <v>20</v>
      </c>
      <c r="H235" t="s">
        <v>21</v>
      </c>
      <c r="I235" s="38">
        <v>4305.4</v>
      </c>
      <c r="J235">
        <v>48</v>
      </c>
      <c r="K235">
        <v>1</v>
      </c>
    </row>
    <row r="236" hidden="1" spans="1:11">
      <c r="A236">
        <v>235</v>
      </c>
      <c r="B236">
        <v>30</v>
      </c>
      <c r="C236" t="s">
        <v>16</v>
      </c>
      <c r="D236" t="s">
        <v>12</v>
      </c>
      <c r="E236" t="s">
        <v>13</v>
      </c>
      <c r="F236" s="38">
        <v>2104</v>
      </c>
      <c r="G236" t="s">
        <v>18</v>
      </c>
      <c r="H236" t="s">
        <v>25</v>
      </c>
      <c r="I236" s="38">
        <v>4118.4</v>
      </c>
      <c r="J236">
        <v>45</v>
      </c>
      <c r="K236">
        <v>0</v>
      </c>
    </row>
    <row r="237" hidden="1" spans="1:11">
      <c r="A237">
        <v>236</v>
      </c>
      <c r="B237">
        <v>26</v>
      </c>
      <c r="C237" t="s">
        <v>16</v>
      </c>
      <c r="D237" t="s">
        <v>12</v>
      </c>
      <c r="E237" t="s">
        <v>13</v>
      </c>
      <c r="F237" s="38">
        <v>2119</v>
      </c>
      <c r="G237" t="s">
        <v>14</v>
      </c>
      <c r="H237" t="s">
        <v>15</v>
      </c>
      <c r="I237" s="38">
        <v>7575.7</v>
      </c>
      <c r="J237">
        <v>36</v>
      </c>
      <c r="K237">
        <v>1</v>
      </c>
    </row>
    <row r="238" hidden="1" spans="1:11">
      <c r="A238">
        <v>237</v>
      </c>
      <c r="B238">
        <v>49</v>
      </c>
      <c r="C238" t="s">
        <v>16</v>
      </c>
      <c r="D238" t="s">
        <v>12</v>
      </c>
      <c r="E238" t="s">
        <v>13</v>
      </c>
      <c r="F238" s="38">
        <v>4099</v>
      </c>
      <c r="G238" t="s">
        <v>14</v>
      </c>
      <c r="H238" t="s">
        <v>15</v>
      </c>
      <c r="I238" s="38">
        <v>3356.1</v>
      </c>
      <c r="J238">
        <v>48</v>
      </c>
      <c r="K238">
        <v>1</v>
      </c>
    </row>
    <row r="239" hidden="1" spans="1:11">
      <c r="A239">
        <v>238</v>
      </c>
      <c r="B239">
        <v>38</v>
      </c>
      <c r="C239" t="s">
        <v>16</v>
      </c>
      <c r="D239" t="s">
        <v>12</v>
      </c>
      <c r="E239" t="s">
        <v>23</v>
      </c>
      <c r="F239" s="38">
        <v>3960</v>
      </c>
      <c r="G239" t="s">
        <v>14</v>
      </c>
      <c r="H239" t="s">
        <v>25</v>
      </c>
      <c r="I239" s="38">
        <v>6916.8</v>
      </c>
      <c r="J239">
        <v>60</v>
      </c>
      <c r="K239">
        <v>1</v>
      </c>
    </row>
    <row r="240" hidden="1" spans="1:11">
      <c r="A240">
        <v>239</v>
      </c>
      <c r="B240">
        <v>24</v>
      </c>
      <c r="C240" t="s">
        <v>11</v>
      </c>
      <c r="D240" t="s">
        <v>12</v>
      </c>
      <c r="E240" t="s">
        <v>22</v>
      </c>
      <c r="F240" s="38">
        <v>5298</v>
      </c>
      <c r="G240" t="s">
        <v>14</v>
      </c>
      <c r="H240" t="s">
        <v>15</v>
      </c>
      <c r="I240" s="38">
        <v>1672.2</v>
      </c>
      <c r="J240">
        <v>12</v>
      </c>
      <c r="K240">
        <v>0</v>
      </c>
    </row>
    <row r="241" hidden="1" spans="1:11">
      <c r="A241">
        <v>240</v>
      </c>
      <c r="B241">
        <v>30</v>
      </c>
      <c r="C241" t="s">
        <v>16</v>
      </c>
      <c r="D241" t="s">
        <v>12</v>
      </c>
      <c r="E241" t="s">
        <v>13</v>
      </c>
      <c r="F241" s="38">
        <v>3712</v>
      </c>
      <c r="G241" t="s">
        <v>18</v>
      </c>
      <c r="H241" t="s">
        <v>15</v>
      </c>
      <c r="I241" s="38">
        <v>2594.9</v>
      </c>
      <c r="J241">
        <v>24</v>
      </c>
      <c r="K241">
        <v>1</v>
      </c>
    </row>
    <row r="242" hidden="1" spans="1:11">
      <c r="A242">
        <v>241</v>
      </c>
      <c r="B242">
        <v>21</v>
      </c>
      <c r="C242" t="s">
        <v>16</v>
      </c>
      <c r="D242" t="s">
        <v>24</v>
      </c>
      <c r="E242" t="s">
        <v>13</v>
      </c>
      <c r="F242" s="38">
        <v>3778</v>
      </c>
      <c r="G242" t="s">
        <v>26</v>
      </c>
      <c r="H242" t="s">
        <v>25</v>
      </c>
      <c r="I242" s="38">
        <v>2772</v>
      </c>
      <c r="J242">
        <v>27</v>
      </c>
      <c r="K242">
        <v>1</v>
      </c>
    </row>
    <row r="243" hidden="1" spans="1:11">
      <c r="A243">
        <v>242</v>
      </c>
      <c r="B243">
        <v>19</v>
      </c>
      <c r="C243" t="s">
        <v>16</v>
      </c>
      <c r="D243" t="s">
        <v>24</v>
      </c>
      <c r="E243" t="s">
        <v>22</v>
      </c>
      <c r="F243" s="38">
        <v>2010</v>
      </c>
      <c r="G243" t="s">
        <v>14</v>
      </c>
      <c r="H243" t="s">
        <v>15</v>
      </c>
      <c r="I243" s="38">
        <v>2185.7</v>
      </c>
      <c r="J243">
        <v>24</v>
      </c>
      <c r="K243">
        <v>1</v>
      </c>
    </row>
    <row r="244" hidden="1" spans="1:11">
      <c r="A244">
        <v>243</v>
      </c>
      <c r="B244">
        <v>33</v>
      </c>
      <c r="C244" t="s">
        <v>16</v>
      </c>
      <c r="D244" t="s">
        <v>12</v>
      </c>
      <c r="E244" t="s">
        <v>13</v>
      </c>
      <c r="F244" s="38">
        <v>2094</v>
      </c>
      <c r="G244" t="s">
        <v>20</v>
      </c>
      <c r="H244" t="s">
        <v>25</v>
      </c>
      <c r="I244" s="38">
        <v>5279.4</v>
      </c>
      <c r="J244">
        <v>18</v>
      </c>
      <c r="K244">
        <v>0</v>
      </c>
    </row>
    <row r="245" hidden="1" spans="1:11">
      <c r="A245">
        <v>244</v>
      </c>
      <c r="B245">
        <v>31</v>
      </c>
      <c r="C245" t="s">
        <v>11</v>
      </c>
      <c r="D245" t="s">
        <v>12</v>
      </c>
      <c r="E245" t="s">
        <v>13</v>
      </c>
      <c r="F245" s="38">
        <v>3715</v>
      </c>
      <c r="G245" t="s">
        <v>20</v>
      </c>
      <c r="H245" t="s">
        <v>21</v>
      </c>
      <c r="I245" s="38">
        <v>1865.7</v>
      </c>
      <c r="J245">
        <v>12</v>
      </c>
      <c r="K245">
        <v>0</v>
      </c>
    </row>
    <row r="246" spans="1:11">
      <c r="A246">
        <v>245</v>
      </c>
      <c r="B246">
        <v>45</v>
      </c>
      <c r="C246" t="s">
        <v>16</v>
      </c>
      <c r="D246" t="s">
        <v>12</v>
      </c>
      <c r="E246" t="s">
        <v>13</v>
      </c>
      <c r="F246" s="38">
        <v>6396</v>
      </c>
      <c r="G246" t="s">
        <v>14</v>
      </c>
      <c r="H246" t="s">
        <v>15</v>
      </c>
      <c r="I246" s="38">
        <v>1447.2</v>
      </c>
      <c r="J246">
        <v>12</v>
      </c>
      <c r="K246">
        <v>0</v>
      </c>
    </row>
    <row r="247" hidden="1" spans="1:11">
      <c r="A247">
        <v>246</v>
      </c>
      <c r="B247">
        <v>30</v>
      </c>
      <c r="C247" t="s">
        <v>16</v>
      </c>
      <c r="D247" t="s">
        <v>17</v>
      </c>
      <c r="E247" t="s">
        <v>13</v>
      </c>
      <c r="F247" s="38">
        <v>3883</v>
      </c>
      <c r="G247" t="s">
        <v>14</v>
      </c>
      <c r="H247" t="s">
        <v>15</v>
      </c>
      <c r="I247" s="38">
        <v>2836.9</v>
      </c>
      <c r="J247">
        <v>12</v>
      </c>
      <c r="K247">
        <v>1</v>
      </c>
    </row>
    <row r="248" hidden="1" spans="1:11">
      <c r="A248">
        <v>247</v>
      </c>
      <c r="B248">
        <v>32</v>
      </c>
      <c r="C248" t="s">
        <v>16</v>
      </c>
      <c r="D248" t="s">
        <v>12</v>
      </c>
      <c r="E248" t="s">
        <v>13</v>
      </c>
      <c r="F248" s="38">
        <v>2288</v>
      </c>
      <c r="G248" t="s">
        <v>20</v>
      </c>
      <c r="H248" t="s">
        <v>21</v>
      </c>
      <c r="I248" s="38">
        <v>1052.1</v>
      </c>
      <c r="J248">
        <v>18</v>
      </c>
      <c r="K248">
        <v>0</v>
      </c>
    </row>
    <row r="249" hidden="1" spans="1:11">
      <c r="A249">
        <v>248</v>
      </c>
      <c r="B249">
        <v>30</v>
      </c>
      <c r="C249" t="s">
        <v>11</v>
      </c>
      <c r="D249" t="s">
        <v>12</v>
      </c>
      <c r="E249" t="s">
        <v>13</v>
      </c>
      <c r="F249" s="38">
        <v>3864</v>
      </c>
      <c r="G249" t="s">
        <v>14</v>
      </c>
      <c r="H249" t="s">
        <v>15</v>
      </c>
      <c r="I249" s="38">
        <v>1244.1</v>
      </c>
      <c r="J249">
        <v>18</v>
      </c>
      <c r="K249">
        <v>1</v>
      </c>
    </row>
    <row r="250" hidden="1" spans="1:11">
      <c r="A250">
        <v>249</v>
      </c>
      <c r="B250">
        <v>28</v>
      </c>
      <c r="C250" t="s">
        <v>16</v>
      </c>
      <c r="D250" t="s">
        <v>12</v>
      </c>
      <c r="E250" t="s">
        <v>22</v>
      </c>
      <c r="F250" s="38">
        <v>1725</v>
      </c>
      <c r="G250" t="s">
        <v>14</v>
      </c>
      <c r="H250" t="s">
        <v>15</v>
      </c>
      <c r="I250" s="38">
        <v>2532.2</v>
      </c>
      <c r="J250">
        <v>36</v>
      </c>
      <c r="K250">
        <v>1</v>
      </c>
    </row>
    <row r="251" hidden="1" spans="1:11">
      <c r="A251">
        <v>250</v>
      </c>
      <c r="B251">
        <v>45</v>
      </c>
      <c r="C251" t="s">
        <v>11</v>
      </c>
      <c r="D251" t="s">
        <v>17</v>
      </c>
      <c r="E251" t="s">
        <v>22</v>
      </c>
      <c r="F251" s="38">
        <v>2831</v>
      </c>
      <c r="G251" t="s">
        <v>14</v>
      </c>
      <c r="H251" t="s">
        <v>21</v>
      </c>
      <c r="I251" s="38">
        <v>3481.2</v>
      </c>
      <c r="J251">
        <v>24</v>
      </c>
      <c r="K251">
        <v>0</v>
      </c>
    </row>
    <row r="252" hidden="1" spans="1:11">
      <c r="A252">
        <v>251</v>
      </c>
      <c r="B252">
        <v>40</v>
      </c>
      <c r="C252" t="s">
        <v>16</v>
      </c>
      <c r="D252" t="s">
        <v>17</v>
      </c>
      <c r="E252" t="s">
        <v>13</v>
      </c>
      <c r="F252" s="38">
        <v>4796</v>
      </c>
      <c r="G252" t="s">
        <v>14</v>
      </c>
      <c r="H252" t="s">
        <v>21</v>
      </c>
      <c r="I252" s="38">
        <v>1150.2</v>
      </c>
      <c r="J252">
        <v>24</v>
      </c>
      <c r="K252">
        <v>0</v>
      </c>
    </row>
    <row r="253" hidden="1" spans="1:11">
      <c r="A253">
        <v>252</v>
      </c>
      <c r="B253">
        <v>51</v>
      </c>
      <c r="C253" t="s">
        <v>16</v>
      </c>
      <c r="D253" t="s">
        <v>24</v>
      </c>
      <c r="E253" t="s">
        <v>22</v>
      </c>
      <c r="F253" s="38">
        <v>3270</v>
      </c>
      <c r="G253" t="s">
        <v>20</v>
      </c>
      <c r="H253" t="s">
        <v>21</v>
      </c>
      <c r="I253" s="38">
        <v>657</v>
      </c>
      <c r="J253">
        <v>7</v>
      </c>
      <c r="K253">
        <v>0</v>
      </c>
    </row>
    <row r="254" hidden="1" spans="1:11">
      <c r="A254">
        <v>253</v>
      </c>
      <c r="B254">
        <v>35</v>
      </c>
      <c r="C254" t="s">
        <v>16</v>
      </c>
      <c r="D254" t="s">
        <v>12</v>
      </c>
      <c r="E254" t="s">
        <v>22</v>
      </c>
      <c r="F254" s="38">
        <v>4237</v>
      </c>
      <c r="G254" t="s">
        <v>18</v>
      </c>
      <c r="H254" t="s">
        <v>25</v>
      </c>
      <c r="I254" s="38">
        <v>10584</v>
      </c>
      <c r="J254">
        <v>39</v>
      </c>
      <c r="K254">
        <v>0</v>
      </c>
    </row>
    <row r="255" hidden="1" spans="1:11">
      <c r="A255">
        <v>254</v>
      </c>
      <c r="B255">
        <v>53</v>
      </c>
      <c r="C255" t="s">
        <v>16</v>
      </c>
      <c r="D255" t="s">
        <v>12</v>
      </c>
      <c r="E255" t="s">
        <v>13</v>
      </c>
      <c r="F255" s="38">
        <v>3964</v>
      </c>
      <c r="G255" t="s">
        <v>20</v>
      </c>
      <c r="H255" t="s">
        <v>21</v>
      </c>
      <c r="I255" s="38">
        <v>4671</v>
      </c>
      <c r="J255">
        <v>27</v>
      </c>
      <c r="K255">
        <v>0</v>
      </c>
    </row>
    <row r="256" hidden="1" spans="1:11">
      <c r="A256">
        <v>255</v>
      </c>
      <c r="B256">
        <v>26</v>
      </c>
      <c r="C256" t="s">
        <v>16</v>
      </c>
      <c r="D256" t="s">
        <v>12</v>
      </c>
      <c r="E256" t="s">
        <v>13</v>
      </c>
      <c r="F256" s="38">
        <v>3520</v>
      </c>
      <c r="G256" t="s">
        <v>14</v>
      </c>
      <c r="H256" t="s">
        <v>25</v>
      </c>
      <c r="I256" s="38">
        <v>412.2</v>
      </c>
      <c r="J256">
        <v>9</v>
      </c>
      <c r="K256">
        <v>0</v>
      </c>
    </row>
    <row r="257" hidden="1" spans="1:11">
      <c r="A257">
        <v>256</v>
      </c>
      <c r="B257">
        <v>43</v>
      </c>
      <c r="C257" t="s">
        <v>16</v>
      </c>
      <c r="D257" t="s">
        <v>17</v>
      </c>
      <c r="E257" t="s">
        <v>23</v>
      </c>
      <c r="F257" s="38">
        <v>3142</v>
      </c>
      <c r="G257" t="s">
        <v>14</v>
      </c>
      <c r="H257" t="s">
        <v>15</v>
      </c>
      <c r="I257" s="38">
        <v>2924.1</v>
      </c>
      <c r="J257">
        <v>36</v>
      </c>
      <c r="K257">
        <v>0</v>
      </c>
    </row>
    <row r="258" hidden="1" spans="1:11">
      <c r="A258">
        <v>257</v>
      </c>
      <c r="B258">
        <v>34</v>
      </c>
      <c r="C258" t="s">
        <v>11</v>
      </c>
      <c r="D258" t="s">
        <v>12</v>
      </c>
      <c r="E258" t="s">
        <v>13</v>
      </c>
      <c r="F258" s="38">
        <v>1756</v>
      </c>
      <c r="G258" t="s">
        <v>18</v>
      </c>
      <c r="H258" t="s">
        <v>21</v>
      </c>
      <c r="I258" s="38">
        <v>1378.8</v>
      </c>
      <c r="J258">
        <v>15</v>
      </c>
      <c r="K258">
        <v>0</v>
      </c>
    </row>
    <row r="259" hidden="1" spans="1:11">
      <c r="A259">
        <v>258</v>
      </c>
      <c r="B259">
        <v>54</v>
      </c>
      <c r="C259" t="s">
        <v>11</v>
      </c>
      <c r="D259" t="s">
        <v>17</v>
      </c>
      <c r="E259" t="s">
        <v>13</v>
      </c>
      <c r="F259" s="38">
        <v>2346</v>
      </c>
      <c r="G259" t="s">
        <v>14</v>
      </c>
      <c r="H259" t="s">
        <v>15</v>
      </c>
      <c r="I259" s="38">
        <v>2470.6</v>
      </c>
      <c r="J259">
        <v>12</v>
      </c>
      <c r="K259">
        <v>1</v>
      </c>
    </row>
    <row r="260" hidden="1" spans="1:11">
      <c r="A260">
        <v>259</v>
      </c>
      <c r="B260">
        <v>54</v>
      </c>
      <c r="C260" t="s">
        <v>16</v>
      </c>
      <c r="D260" t="s">
        <v>12</v>
      </c>
      <c r="E260" t="s">
        <v>13</v>
      </c>
      <c r="F260" s="38">
        <v>3156</v>
      </c>
      <c r="G260" t="s">
        <v>20</v>
      </c>
      <c r="H260" t="s">
        <v>21</v>
      </c>
      <c r="I260" s="38">
        <v>2097.9</v>
      </c>
      <c r="J260">
        <v>12</v>
      </c>
      <c r="K260">
        <v>0</v>
      </c>
    </row>
    <row r="261" hidden="1" spans="1:11">
      <c r="A261">
        <v>260</v>
      </c>
      <c r="B261">
        <v>29</v>
      </c>
      <c r="C261" t="s">
        <v>16</v>
      </c>
      <c r="D261" t="s">
        <v>24</v>
      </c>
      <c r="E261" t="s">
        <v>13</v>
      </c>
      <c r="F261" s="38">
        <v>4754</v>
      </c>
      <c r="G261" t="s">
        <v>20</v>
      </c>
      <c r="H261" t="s">
        <v>21</v>
      </c>
      <c r="I261" s="38">
        <v>704.7</v>
      </c>
      <c r="J261">
        <v>6</v>
      </c>
      <c r="K261">
        <v>0</v>
      </c>
    </row>
    <row r="262" hidden="1" spans="1:11">
      <c r="A262">
        <v>261</v>
      </c>
      <c r="B262">
        <v>25</v>
      </c>
      <c r="C262" t="s">
        <v>16</v>
      </c>
      <c r="D262" t="s">
        <v>12</v>
      </c>
      <c r="E262" t="s">
        <v>13</v>
      </c>
      <c r="F262" s="38">
        <v>3350</v>
      </c>
      <c r="G262" t="s">
        <v>14</v>
      </c>
      <c r="H262" t="s">
        <v>21</v>
      </c>
      <c r="I262" s="38">
        <v>2385.9</v>
      </c>
      <c r="J262">
        <v>18</v>
      </c>
      <c r="K262">
        <v>1</v>
      </c>
    </row>
    <row r="263" spans="1:11">
      <c r="A263">
        <v>262</v>
      </c>
      <c r="B263">
        <v>26</v>
      </c>
      <c r="C263" t="s">
        <v>16</v>
      </c>
      <c r="D263" t="s">
        <v>12</v>
      </c>
      <c r="E263" t="s">
        <v>13</v>
      </c>
      <c r="F263" s="38">
        <v>6491</v>
      </c>
      <c r="G263" t="s">
        <v>14</v>
      </c>
      <c r="H263" t="s">
        <v>19</v>
      </c>
      <c r="I263" s="38">
        <v>5263.2</v>
      </c>
      <c r="J263">
        <v>36</v>
      </c>
      <c r="K263">
        <v>0</v>
      </c>
    </row>
    <row r="264" hidden="1" spans="1:11">
      <c r="A264">
        <v>263</v>
      </c>
      <c r="B264">
        <v>35</v>
      </c>
      <c r="C264" t="s">
        <v>16</v>
      </c>
      <c r="D264" t="s">
        <v>12</v>
      </c>
      <c r="E264" t="s">
        <v>23</v>
      </c>
      <c r="F264" s="38">
        <v>4213</v>
      </c>
      <c r="G264" t="s">
        <v>20</v>
      </c>
      <c r="H264" t="s">
        <v>19</v>
      </c>
      <c r="I264" s="38">
        <v>1398.1</v>
      </c>
      <c r="J264">
        <v>15</v>
      </c>
      <c r="K264">
        <v>1</v>
      </c>
    </row>
    <row r="265" hidden="1" spans="1:11">
      <c r="A265">
        <v>264</v>
      </c>
      <c r="B265">
        <v>42</v>
      </c>
      <c r="C265" t="s">
        <v>16</v>
      </c>
      <c r="D265" t="s">
        <v>24</v>
      </c>
      <c r="E265" t="s">
        <v>13</v>
      </c>
      <c r="F265" s="38">
        <v>4971</v>
      </c>
      <c r="G265" t="s">
        <v>14</v>
      </c>
      <c r="H265" t="s">
        <v>15</v>
      </c>
      <c r="I265" s="38">
        <v>2077.2</v>
      </c>
      <c r="J265">
        <v>9</v>
      </c>
      <c r="K265">
        <v>0</v>
      </c>
    </row>
    <row r="266" hidden="1" spans="1:11">
      <c r="A266">
        <v>265</v>
      </c>
      <c r="B266">
        <v>23</v>
      </c>
      <c r="C266" t="s">
        <v>11</v>
      </c>
      <c r="D266" t="s">
        <v>12</v>
      </c>
      <c r="E266" t="s">
        <v>22</v>
      </c>
      <c r="F266" s="38">
        <v>5303</v>
      </c>
      <c r="G266" t="s">
        <v>14</v>
      </c>
      <c r="H266" t="s">
        <v>15</v>
      </c>
      <c r="I266" s="38">
        <v>944.1</v>
      </c>
      <c r="J266">
        <v>18</v>
      </c>
      <c r="K266">
        <v>0</v>
      </c>
    </row>
    <row r="267" hidden="1" spans="1:11">
      <c r="A267">
        <v>266</v>
      </c>
      <c r="B267">
        <v>24</v>
      </c>
      <c r="C267" t="s">
        <v>16</v>
      </c>
      <c r="D267" t="s">
        <v>12</v>
      </c>
      <c r="E267" t="s">
        <v>13</v>
      </c>
      <c r="F267" s="38">
        <v>2676</v>
      </c>
      <c r="G267" t="s">
        <v>18</v>
      </c>
      <c r="H267" t="s">
        <v>25</v>
      </c>
      <c r="I267" s="38">
        <v>12057.1</v>
      </c>
      <c r="J267">
        <v>48</v>
      </c>
      <c r="K267">
        <v>1</v>
      </c>
    </row>
    <row r="268" hidden="1" spans="1:11">
      <c r="A268">
        <v>267</v>
      </c>
      <c r="B268">
        <v>26</v>
      </c>
      <c r="C268" t="s">
        <v>16</v>
      </c>
      <c r="D268" t="s">
        <v>12</v>
      </c>
      <c r="E268" t="s">
        <v>22</v>
      </c>
      <c r="F268" s="38">
        <v>5004</v>
      </c>
      <c r="G268" t="s">
        <v>14</v>
      </c>
      <c r="H268" t="s">
        <v>25</v>
      </c>
      <c r="I268" s="38">
        <v>2090.7</v>
      </c>
      <c r="J268">
        <v>36</v>
      </c>
      <c r="K268">
        <v>0</v>
      </c>
    </row>
    <row r="269" hidden="1" spans="1:11">
      <c r="A269">
        <v>268</v>
      </c>
      <c r="B269">
        <v>27</v>
      </c>
      <c r="C269" t="s">
        <v>16</v>
      </c>
      <c r="D269" t="s">
        <v>12</v>
      </c>
      <c r="E269" t="s">
        <v>13</v>
      </c>
      <c r="F269" s="38">
        <v>4155</v>
      </c>
      <c r="G269" t="s">
        <v>20</v>
      </c>
      <c r="H269" t="s">
        <v>25</v>
      </c>
      <c r="I269" s="38">
        <v>24114.2</v>
      </c>
      <c r="J269">
        <v>48</v>
      </c>
      <c r="K269">
        <v>1</v>
      </c>
    </row>
    <row r="270" hidden="1" spans="1:11">
      <c r="A270">
        <v>269</v>
      </c>
      <c r="B270">
        <v>46</v>
      </c>
      <c r="C270" t="s">
        <v>16</v>
      </c>
      <c r="D270" t="s">
        <v>12</v>
      </c>
      <c r="E270" t="s">
        <v>13</v>
      </c>
      <c r="F270" s="38">
        <v>5580</v>
      </c>
      <c r="G270" t="s">
        <v>14</v>
      </c>
      <c r="H270" t="s">
        <v>15</v>
      </c>
      <c r="I270" s="38">
        <v>2319.3</v>
      </c>
      <c r="J270">
        <v>12</v>
      </c>
      <c r="K270">
        <v>0</v>
      </c>
    </row>
    <row r="271" spans="1:11">
      <c r="A271">
        <v>270</v>
      </c>
      <c r="B271">
        <v>32</v>
      </c>
      <c r="C271" t="s">
        <v>16</v>
      </c>
      <c r="D271" t="s">
        <v>12</v>
      </c>
      <c r="E271" t="s">
        <v>13</v>
      </c>
      <c r="F271" s="38">
        <v>6550</v>
      </c>
      <c r="G271" t="s">
        <v>14</v>
      </c>
      <c r="H271" t="s">
        <v>25</v>
      </c>
      <c r="I271" s="38">
        <v>2366.1</v>
      </c>
      <c r="J271">
        <v>20</v>
      </c>
      <c r="K271">
        <v>0</v>
      </c>
    </row>
    <row r="272" hidden="1" spans="1:11">
      <c r="A272">
        <v>271</v>
      </c>
      <c r="B272">
        <v>32</v>
      </c>
      <c r="C272" t="s">
        <v>11</v>
      </c>
      <c r="D272" t="s">
        <v>12</v>
      </c>
      <c r="E272" t="s">
        <v>22</v>
      </c>
      <c r="F272" s="38">
        <v>5077</v>
      </c>
      <c r="G272" t="s">
        <v>26</v>
      </c>
      <c r="H272" t="s">
        <v>25</v>
      </c>
      <c r="I272" s="38">
        <v>6982.2</v>
      </c>
      <c r="J272">
        <v>24</v>
      </c>
      <c r="K272">
        <v>0</v>
      </c>
    </row>
    <row r="273" hidden="1" spans="1:11">
      <c r="A273">
        <v>272</v>
      </c>
      <c r="B273">
        <v>28</v>
      </c>
      <c r="C273" t="s">
        <v>11</v>
      </c>
      <c r="D273" t="s">
        <v>24</v>
      </c>
      <c r="E273" t="s">
        <v>13</v>
      </c>
      <c r="F273" s="38">
        <v>2166</v>
      </c>
      <c r="G273" t="s">
        <v>14</v>
      </c>
      <c r="H273" t="s">
        <v>25</v>
      </c>
      <c r="I273" s="38">
        <v>2120.8</v>
      </c>
      <c r="J273">
        <v>18</v>
      </c>
      <c r="K273">
        <v>1</v>
      </c>
    </row>
    <row r="274" hidden="1" spans="1:11">
      <c r="A274">
        <v>273</v>
      </c>
      <c r="B274">
        <v>32</v>
      </c>
      <c r="C274" t="s">
        <v>16</v>
      </c>
      <c r="D274" t="s">
        <v>24</v>
      </c>
      <c r="E274" t="s">
        <v>13</v>
      </c>
      <c r="F274" s="38">
        <v>1941</v>
      </c>
      <c r="G274" t="s">
        <v>14</v>
      </c>
      <c r="H274" t="s">
        <v>15</v>
      </c>
      <c r="I274" s="38">
        <v>3231</v>
      </c>
      <c r="J274">
        <v>12</v>
      </c>
      <c r="K274">
        <v>0</v>
      </c>
    </row>
    <row r="275" hidden="1" spans="1:11">
      <c r="A275">
        <v>274</v>
      </c>
      <c r="B275">
        <v>23</v>
      </c>
      <c r="C275" t="s">
        <v>11</v>
      </c>
      <c r="D275" t="s">
        <v>24</v>
      </c>
      <c r="E275" t="s">
        <v>13</v>
      </c>
      <c r="F275" s="38">
        <v>1695</v>
      </c>
      <c r="G275" t="s">
        <v>14</v>
      </c>
      <c r="H275" t="s">
        <v>25</v>
      </c>
      <c r="I275" s="38">
        <v>5209.6</v>
      </c>
      <c r="J275">
        <v>24</v>
      </c>
      <c r="K275">
        <v>1</v>
      </c>
    </row>
    <row r="276" hidden="1" spans="1:11">
      <c r="A276">
        <v>275</v>
      </c>
      <c r="B276">
        <v>54</v>
      </c>
      <c r="C276" t="s">
        <v>16</v>
      </c>
      <c r="D276" t="s">
        <v>12</v>
      </c>
      <c r="E276" t="s">
        <v>13</v>
      </c>
      <c r="F276" s="38">
        <v>5017</v>
      </c>
      <c r="G276" t="s">
        <v>18</v>
      </c>
      <c r="H276" t="s">
        <v>19</v>
      </c>
      <c r="I276" s="38">
        <v>1013.4</v>
      </c>
      <c r="J276">
        <v>9</v>
      </c>
      <c r="K276">
        <v>0</v>
      </c>
    </row>
    <row r="277" hidden="1" spans="1:11">
      <c r="A277">
        <v>276</v>
      </c>
      <c r="B277">
        <v>39</v>
      </c>
      <c r="C277" t="s">
        <v>16</v>
      </c>
      <c r="D277" t="s">
        <v>24</v>
      </c>
      <c r="E277" t="s">
        <v>13</v>
      </c>
      <c r="F277" s="38">
        <v>5746</v>
      </c>
      <c r="G277" t="s">
        <v>14</v>
      </c>
      <c r="H277" t="s">
        <v>21</v>
      </c>
      <c r="I277" s="38">
        <v>4211.1</v>
      </c>
      <c r="J277">
        <v>24</v>
      </c>
      <c r="K277">
        <v>0</v>
      </c>
    </row>
    <row r="278" hidden="1" spans="1:11">
      <c r="A278">
        <v>277</v>
      </c>
      <c r="B278">
        <v>29</v>
      </c>
      <c r="C278" t="s">
        <v>16</v>
      </c>
      <c r="D278" t="s">
        <v>12</v>
      </c>
      <c r="E278" t="s">
        <v>13</v>
      </c>
      <c r="F278" s="38">
        <v>5933</v>
      </c>
      <c r="G278" t="s">
        <v>14</v>
      </c>
      <c r="H278" t="s">
        <v>15</v>
      </c>
      <c r="I278" s="38">
        <v>4309.2</v>
      </c>
      <c r="J278">
        <v>48</v>
      </c>
      <c r="K278">
        <v>0</v>
      </c>
    </row>
    <row r="279" hidden="1" spans="1:11">
      <c r="A279">
        <v>278</v>
      </c>
      <c r="B279">
        <v>38</v>
      </c>
      <c r="C279" t="s">
        <v>11</v>
      </c>
      <c r="D279" t="s">
        <v>12</v>
      </c>
      <c r="E279" t="s">
        <v>13</v>
      </c>
      <c r="F279" s="38">
        <v>2634</v>
      </c>
      <c r="G279" t="s">
        <v>18</v>
      </c>
      <c r="H279" t="s">
        <v>25</v>
      </c>
      <c r="I279" s="38">
        <v>4184.4</v>
      </c>
      <c r="J279">
        <v>36</v>
      </c>
      <c r="K279">
        <v>1</v>
      </c>
    </row>
    <row r="280" hidden="1" spans="1:11">
      <c r="A280">
        <v>279</v>
      </c>
      <c r="B280">
        <v>52</v>
      </c>
      <c r="C280" t="s">
        <v>16</v>
      </c>
      <c r="D280" t="s">
        <v>12</v>
      </c>
      <c r="E280" t="s">
        <v>13</v>
      </c>
      <c r="F280" s="38">
        <v>1816</v>
      </c>
      <c r="G280" t="s">
        <v>14</v>
      </c>
      <c r="H280" t="s">
        <v>21</v>
      </c>
      <c r="I280" s="38">
        <v>3079.8</v>
      </c>
      <c r="J280">
        <v>18</v>
      </c>
      <c r="K280">
        <v>0</v>
      </c>
    </row>
    <row r="281" hidden="1" spans="1:11">
      <c r="A281">
        <v>280</v>
      </c>
      <c r="B281">
        <v>37</v>
      </c>
      <c r="C281" t="s">
        <v>16</v>
      </c>
      <c r="D281" t="s">
        <v>17</v>
      </c>
      <c r="E281" t="s">
        <v>23</v>
      </c>
      <c r="F281" s="38">
        <v>4145</v>
      </c>
      <c r="G281" t="s">
        <v>14</v>
      </c>
      <c r="H281" t="s">
        <v>15</v>
      </c>
      <c r="I281" s="38">
        <v>2619</v>
      </c>
      <c r="J281">
        <v>24</v>
      </c>
      <c r="K281">
        <v>0</v>
      </c>
    </row>
    <row r="282" hidden="1" spans="1:11">
      <c r="A282">
        <v>281</v>
      </c>
      <c r="B282">
        <v>65</v>
      </c>
      <c r="C282" t="s">
        <v>11</v>
      </c>
      <c r="D282" t="s">
        <v>12</v>
      </c>
      <c r="E282" t="s">
        <v>13</v>
      </c>
      <c r="F282" s="38">
        <v>4129</v>
      </c>
      <c r="G282" t="s">
        <v>20</v>
      </c>
      <c r="H282" t="s">
        <v>21</v>
      </c>
      <c r="I282" s="38">
        <v>4540.5</v>
      </c>
      <c r="J282">
        <v>15</v>
      </c>
      <c r="K282">
        <v>0</v>
      </c>
    </row>
    <row r="283" hidden="1" spans="1:11">
      <c r="A283">
        <v>282</v>
      </c>
      <c r="B283">
        <v>39</v>
      </c>
      <c r="C283" t="s">
        <v>16</v>
      </c>
      <c r="D283" t="s">
        <v>17</v>
      </c>
      <c r="E283" t="s">
        <v>13</v>
      </c>
      <c r="F283" s="38">
        <v>3898</v>
      </c>
      <c r="G283" t="s">
        <v>20</v>
      </c>
      <c r="H283" t="s">
        <v>19</v>
      </c>
      <c r="I283" s="38">
        <v>1394.1</v>
      </c>
      <c r="J283">
        <v>9</v>
      </c>
      <c r="K283">
        <v>0</v>
      </c>
    </row>
    <row r="284" hidden="1" spans="1:11">
      <c r="A284">
        <v>283</v>
      </c>
      <c r="B284">
        <v>29</v>
      </c>
      <c r="C284" t="s">
        <v>16</v>
      </c>
      <c r="D284" t="s">
        <v>12</v>
      </c>
      <c r="E284" t="s">
        <v>13</v>
      </c>
      <c r="F284" s="38">
        <v>4722</v>
      </c>
      <c r="G284" t="s">
        <v>14</v>
      </c>
      <c r="H284" t="s">
        <v>19</v>
      </c>
      <c r="I284" s="38">
        <v>1732.5</v>
      </c>
      <c r="J284">
        <v>24</v>
      </c>
      <c r="K284">
        <v>0</v>
      </c>
    </row>
    <row r="285" spans="1:11">
      <c r="A285">
        <v>284</v>
      </c>
      <c r="B285">
        <v>33</v>
      </c>
      <c r="C285" t="s">
        <v>16</v>
      </c>
      <c r="D285" t="s">
        <v>12</v>
      </c>
      <c r="E285" t="s">
        <v>13</v>
      </c>
      <c r="F285" s="38">
        <v>6350</v>
      </c>
      <c r="G285" t="s">
        <v>14</v>
      </c>
      <c r="H285" t="s">
        <v>25</v>
      </c>
      <c r="I285" s="38">
        <v>7169.4</v>
      </c>
      <c r="J285">
        <v>26</v>
      </c>
      <c r="K285">
        <v>0</v>
      </c>
    </row>
    <row r="286" hidden="1" spans="1:11">
      <c r="A286">
        <v>285</v>
      </c>
      <c r="B286">
        <v>20</v>
      </c>
      <c r="C286" t="s">
        <v>16</v>
      </c>
      <c r="D286" t="s">
        <v>12</v>
      </c>
      <c r="E286" t="s">
        <v>13</v>
      </c>
      <c r="F286" s="38">
        <v>3218</v>
      </c>
      <c r="G286" t="s">
        <v>18</v>
      </c>
      <c r="H286" t="s">
        <v>15</v>
      </c>
      <c r="I286" s="38">
        <v>1482.8</v>
      </c>
      <c r="J286">
        <v>12</v>
      </c>
      <c r="K286">
        <v>1</v>
      </c>
    </row>
    <row r="287" hidden="1" spans="1:11">
      <c r="A287">
        <v>286</v>
      </c>
      <c r="B287">
        <v>37</v>
      </c>
      <c r="C287" t="s">
        <v>11</v>
      </c>
      <c r="D287" t="s">
        <v>12</v>
      </c>
      <c r="E287" t="s">
        <v>13</v>
      </c>
      <c r="F287" s="38">
        <v>3182</v>
      </c>
      <c r="G287" t="s">
        <v>26</v>
      </c>
      <c r="H287" t="s">
        <v>21</v>
      </c>
      <c r="I287" s="38">
        <v>1372.5</v>
      </c>
      <c r="J287">
        <v>24</v>
      </c>
      <c r="K287">
        <v>0</v>
      </c>
    </row>
    <row r="288" hidden="1" spans="1:11">
      <c r="A288">
        <v>287</v>
      </c>
      <c r="B288">
        <v>20</v>
      </c>
      <c r="C288" t="s">
        <v>11</v>
      </c>
      <c r="D288" t="s">
        <v>12</v>
      </c>
      <c r="E288" t="s">
        <v>13</v>
      </c>
      <c r="F288" s="38">
        <v>2575</v>
      </c>
      <c r="G288" t="s">
        <v>14</v>
      </c>
      <c r="H288" t="s">
        <v>25</v>
      </c>
      <c r="I288" s="38">
        <v>2242.9</v>
      </c>
      <c r="J288">
        <v>24</v>
      </c>
      <c r="K288">
        <v>1</v>
      </c>
    </row>
    <row r="289" hidden="1" spans="1:11">
      <c r="A289">
        <v>288</v>
      </c>
      <c r="B289">
        <v>30</v>
      </c>
      <c r="C289" t="s">
        <v>16</v>
      </c>
      <c r="D289" t="s">
        <v>12</v>
      </c>
      <c r="E289" t="s">
        <v>13</v>
      </c>
      <c r="F289" s="38">
        <v>3797</v>
      </c>
      <c r="G289" t="s">
        <v>14</v>
      </c>
      <c r="H289" t="s">
        <v>21</v>
      </c>
      <c r="I289" s="38">
        <v>2351.7</v>
      </c>
      <c r="J289">
        <v>36</v>
      </c>
      <c r="K289">
        <v>0</v>
      </c>
    </row>
    <row r="290" hidden="1" spans="1:11">
      <c r="A290">
        <v>289</v>
      </c>
      <c r="B290">
        <v>28</v>
      </c>
      <c r="C290" t="s">
        <v>16</v>
      </c>
      <c r="D290" t="s">
        <v>12</v>
      </c>
      <c r="E290" t="s">
        <v>22</v>
      </c>
      <c r="F290" s="38">
        <v>2001</v>
      </c>
      <c r="G290" t="s">
        <v>26</v>
      </c>
      <c r="H290" t="s">
        <v>25</v>
      </c>
      <c r="I290" s="38">
        <v>2891.7</v>
      </c>
      <c r="J290">
        <v>18</v>
      </c>
      <c r="K290">
        <v>0</v>
      </c>
    </row>
    <row r="291" hidden="1" spans="1:11">
      <c r="A291">
        <v>290</v>
      </c>
      <c r="B291">
        <v>41</v>
      </c>
      <c r="C291" t="s">
        <v>16</v>
      </c>
      <c r="D291" t="s">
        <v>12</v>
      </c>
      <c r="E291" t="s">
        <v>23</v>
      </c>
      <c r="F291" s="38">
        <v>2827</v>
      </c>
      <c r="G291" t="s">
        <v>14</v>
      </c>
      <c r="H291" t="s">
        <v>15</v>
      </c>
      <c r="I291" s="38">
        <v>4324.1</v>
      </c>
      <c r="J291">
        <v>48</v>
      </c>
      <c r="K291">
        <v>1</v>
      </c>
    </row>
    <row r="292" spans="1:11">
      <c r="A292">
        <v>291</v>
      </c>
      <c r="B292">
        <v>33</v>
      </c>
      <c r="C292" t="s">
        <v>16</v>
      </c>
      <c r="D292" t="s">
        <v>24</v>
      </c>
      <c r="E292" t="s">
        <v>13</v>
      </c>
      <c r="F292" s="38">
        <v>6510</v>
      </c>
      <c r="G292" t="s">
        <v>14</v>
      </c>
      <c r="H292" t="s">
        <v>21</v>
      </c>
      <c r="I292" s="38">
        <v>1825.2</v>
      </c>
      <c r="J292">
        <v>24</v>
      </c>
      <c r="K292">
        <v>0</v>
      </c>
    </row>
    <row r="293" hidden="1" spans="1:11">
      <c r="A293">
        <v>292</v>
      </c>
      <c r="B293">
        <v>31</v>
      </c>
      <c r="C293" t="s">
        <v>16</v>
      </c>
      <c r="D293" t="s">
        <v>17</v>
      </c>
      <c r="E293" t="s">
        <v>13</v>
      </c>
      <c r="F293" s="38">
        <v>2465</v>
      </c>
      <c r="G293" t="s">
        <v>14</v>
      </c>
      <c r="H293" t="s">
        <v>19</v>
      </c>
      <c r="I293" s="38">
        <v>1470.7</v>
      </c>
      <c r="J293">
        <v>9</v>
      </c>
      <c r="K293">
        <v>1</v>
      </c>
    </row>
    <row r="294" hidden="1" spans="1:11">
      <c r="A294">
        <v>293</v>
      </c>
      <c r="B294">
        <v>41</v>
      </c>
      <c r="C294" t="s">
        <v>16</v>
      </c>
      <c r="D294" t="s">
        <v>24</v>
      </c>
      <c r="E294" t="s">
        <v>13</v>
      </c>
      <c r="F294" s="38">
        <v>4906</v>
      </c>
      <c r="G294" t="s">
        <v>20</v>
      </c>
      <c r="H294" t="s">
        <v>21</v>
      </c>
      <c r="I294" s="38">
        <v>3208.5</v>
      </c>
      <c r="J294">
        <v>12</v>
      </c>
      <c r="K294">
        <v>0</v>
      </c>
    </row>
    <row r="295" hidden="1" spans="1:11">
      <c r="A295">
        <v>294</v>
      </c>
      <c r="B295">
        <v>23</v>
      </c>
      <c r="C295" t="s">
        <v>11</v>
      </c>
      <c r="D295" t="s">
        <v>12</v>
      </c>
      <c r="E295" t="s">
        <v>22</v>
      </c>
      <c r="F295" s="38">
        <v>3796</v>
      </c>
      <c r="G295" t="s">
        <v>14</v>
      </c>
      <c r="H295" t="s">
        <v>15</v>
      </c>
      <c r="I295" s="38">
        <v>3425.4</v>
      </c>
      <c r="J295">
        <v>18</v>
      </c>
      <c r="K295">
        <v>1</v>
      </c>
    </row>
    <row r="296" hidden="1" spans="1:11">
      <c r="A296">
        <v>295</v>
      </c>
      <c r="B296">
        <v>26</v>
      </c>
      <c r="C296" t="s">
        <v>11</v>
      </c>
      <c r="D296" t="s">
        <v>12</v>
      </c>
      <c r="E296" t="s">
        <v>13</v>
      </c>
      <c r="F296" s="38">
        <v>4514</v>
      </c>
      <c r="G296" t="s">
        <v>20</v>
      </c>
      <c r="H296" t="s">
        <v>19</v>
      </c>
      <c r="I296" s="38">
        <v>7638.3</v>
      </c>
      <c r="J296">
        <v>48</v>
      </c>
      <c r="K296">
        <v>0</v>
      </c>
    </row>
    <row r="297" hidden="1" spans="1:11">
      <c r="A297">
        <v>296</v>
      </c>
      <c r="B297">
        <v>40</v>
      </c>
      <c r="C297" t="s">
        <v>16</v>
      </c>
      <c r="D297" t="s">
        <v>12</v>
      </c>
      <c r="E297" t="s">
        <v>13</v>
      </c>
      <c r="F297" s="38">
        <v>4137</v>
      </c>
      <c r="G297" t="s">
        <v>26</v>
      </c>
      <c r="H297" t="s">
        <v>25</v>
      </c>
      <c r="I297" s="38">
        <v>1721.7</v>
      </c>
      <c r="J297">
        <v>18</v>
      </c>
      <c r="K297">
        <v>0</v>
      </c>
    </row>
    <row r="298" hidden="1" spans="1:11">
      <c r="A298">
        <v>297</v>
      </c>
      <c r="B298">
        <v>40</v>
      </c>
      <c r="C298" t="s">
        <v>16</v>
      </c>
      <c r="D298" t="s">
        <v>17</v>
      </c>
      <c r="E298" t="s">
        <v>23</v>
      </c>
      <c r="F298" s="38">
        <v>4391</v>
      </c>
      <c r="G298" t="s">
        <v>14</v>
      </c>
      <c r="H298" t="s">
        <v>15</v>
      </c>
      <c r="I298" s="38">
        <v>1684.8</v>
      </c>
      <c r="J298">
        <v>6</v>
      </c>
      <c r="K298">
        <v>0</v>
      </c>
    </row>
    <row r="299" spans="1:11">
      <c r="A299">
        <v>298</v>
      </c>
      <c r="B299">
        <v>42</v>
      </c>
      <c r="C299" t="s">
        <v>16</v>
      </c>
      <c r="D299" t="s">
        <v>17</v>
      </c>
      <c r="E299" t="s">
        <v>23</v>
      </c>
      <c r="F299" s="38">
        <v>6519</v>
      </c>
      <c r="G299" t="s">
        <v>14</v>
      </c>
      <c r="H299" t="s">
        <v>15</v>
      </c>
      <c r="I299" s="38">
        <v>9560.7</v>
      </c>
      <c r="J299">
        <v>30</v>
      </c>
      <c r="K299">
        <v>0</v>
      </c>
    </row>
    <row r="300" hidden="1" spans="1:11">
      <c r="A300">
        <v>299</v>
      </c>
      <c r="B300">
        <v>25</v>
      </c>
      <c r="C300" t="s">
        <v>16</v>
      </c>
      <c r="D300" t="s">
        <v>24</v>
      </c>
      <c r="E300" t="s">
        <v>13</v>
      </c>
      <c r="F300" s="38">
        <v>3974</v>
      </c>
      <c r="G300" t="s">
        <v>14</v>
      </c>
      <c r="H300" t="s">
        <v>15</v>
      </c>
      <c r="I300" s="38">
        <v>719.4</v>
      </c>
      <c r="J300">
        <v>9</v>
      </c>
      <c r="K300">
        <v>1</v>
      </c>
    </row>
    <row r="301" spans="1:11">
      <c r="A301">
        <v>300</v>
      </c>
      <c r="B301">
        <v>36</v>
      </c>
      <c r="C301" t="s">
        <v>16</v>
      </c>
      <c r="D301" t="s">
        <v>12</v>
      </c>
      <c r="E301" t="s">
        <v>13</v>
      </c>
      <c r="F301" s="38">
        <v>6475</v>
      </c>
      <c r="G301" t="s">
        <v>14</v>
      </c>
      <c r="H301" t="s">
        <v>21</v>
      </c>
      <c r="I301" s="38">
        <v>1845.9</v>
      </c>
      <c r="J301">
        <v>18</v>
      </c>
      <c r="K301">
        <v>0</v>
      </c>
    </row>
    <row r="302" spans="1:11">
      <c r="A302">
        <v>301</v>
      </c>
      <c r="B302">
        <v>42</v>
      </c>
      <c r="C302" t="s">
        <v>16</v>
      </c>
      <c r="D302" t="s">
        <v>12</v>
      </c>
      <c r="E302" t="s">
        <v>13</v>
      </c>
      <c r="F302" s="38">
        <v>6310</v>
      </c>
      <c r="G302" t="s">
        <v>18</v>
      </c>
      <c r="H302" t="s">
        <v>25</v>
      </c>
      <c r="I302" s="38">
        <v>3160.8</v>
      </c>
      <c r="J302">
        <v>24</v>
      </c>
      <c r="K302">
        <v>0</v>
      </c>
    </row>
    <row r="303" spans="1:11">
      <c r="A303">
        <v>302</v>
      </c>
      <c r="B303">
        <v>54</v>
      </c>
      <c r="C303" t="s">
        <v>16</v>
      </c>
      <c r="D303" t="s">
        <v>24</v>
      </c>
      <c r="E303" t="s">
        <v>13</v>
      </c>
      <c r="F303" s="38">
        <v>6076</v>
      </c>
      <c r="G303" t="s">
        <v>20</v>
      </c>
      <c r="H303" t="s">
        <v>19</v>
      </c>
      <c r="I303" s="38">
        <v>1300.5</v>
      </c>
      <c r="J303">
        <v>18</v>
      </c>
      <c r="K303">
        <v>0</v>
      </c>
    </row>
    <row r="304" hidden="1" spans="1:11">
      <c r="A304">
        <v>303</v>
      </c>
      <c r="B304">
        <v>28</v>
      </c>
      <c r="C304" t="s">
        <v>16</v>
      </c>
      <c r="D304" t="s">
        <v>12</v>
      </c>
      <c r="E304" t="s">
        <v>13</v>
      </c>
      <c r="F304" s="38">
        <v>1898</v>
      </c>
      <c r="G304" t="s">
        <v>20</v>
      </c>
      <c r="H304" t="s">
        <v>21</v>
      </c>
      <c r="I304" s="38">
        <v>2794.5</v>
      </c>
      <c r="J304">
        <v>24</v>
      </c>
      <c r="K304">
        <v>0</v>
      </c>
    </row>
    <row r="305" hidden="1" spans="1:11">
      <c r="A305">
        <v>304</v>
      </c>
      <c r="B305">
        <v>23</v>
      </c>
      <c r="C305" t="s">
        <v>11</v>
      </c>
      <c r="D305" t="s">
        <v>17</v>
      </c>
      <c r="E305" t="s">
        <v>13</v>
      </c>
      <c r="F305" s="38">
        <v>1382</v>
      </c>
      <c r="G305" t="s">
        <v>14</v>
      </c>
      <c r="H305" t="s">
        <v>15</v>
      </c>
      <c r="I305" s="38">
        <v>8871.5</v>
      </c>
      <c r="J305">
        <v>36</v>
      </c>
      <c r="K305">
        <v>1</v>
      </c>
    </row>
    <row r="306" hidden="1" spans="1:11">
      <c r="A306">
        <v>305</v>
      </c>
      <c r="B306">
        <v>45</v>
      </c>
      <c r="C306" t="s">
        <v>11</v>
      </c>
      <c r="D306" t="s">
        <v>24</v>
      </c>
      <c r="E306" t="s">
        <v>13</v>
      </c>
      <c r="F306" s="38">
        <v>4172</v>
      </c>
      <c r="G306" t="s">
        <v>14</v>
      </c>
      <c r="H306" t="s">
        <v>25</v>
      </c>
      <c r="I306" s="38">
        <v>5358.6</v>
      </c>
      <c r="J306">
        <v>42</v>
      </c>
      <c r="K306">
        <v>0</v>
      </c>
    </row>
    <row r="307" hidden="1" spans="1:11">
      <c r="A307">
        <v>306</v>
      </c>
      <c r="B307">
        <v>25</v>
      </c>
      <c r="C307" t="s">
        <v>16</v>
      </c>
      <c r="D307" t="s">
        <v>12</v>
      </c>
      <c r="E307" t="s">
        <v>13</v>
      </c>
      <c r="F307" s="38">
        <v>2094</v>
      </c>
      <c r="G307" t="s">
        <v>14</v>
      </c>
      <c r="H307" t="s">
        <v>15</v>
      </c>
      <c r="I307" s="38">
        <v>1218.8</v>
      </c>
      <c r="J307">
        <v>12</v>
      </c>
      <c r="K307">
        <v>1</v>
      </c>
    </row>
    <row r="308" hidden="1" spans="1:11">
      <c r="A308">
        <v>307</v>
      </c>
      <c r="B308">
        <v>45</v>
      </c>
      <c r="C308" t="s">
        <v>16</v>
      </c>
      <c r="D308" t="s">
        <v>24</v>
      </c>
      <c r="E308" t="s">
        <v>13</v>
      </c>
      <c r="F308" s="38">
        <v>3371</v>
      </c>
      <c r="G308" t="s">
        <v>14</v>
      </c>
      <c r="H308" t="s">
        <v>15</v>
      </c>
      <c r="I308" s="38">
        <v>7090.2</v>
      </c>
      <c r="J308">
        <v>11</v>
      </c>
      <c r="K308">
        <v>0</v>
      </c>
    </row>
    <row r="309" hidden="1" spans="1:11">
      <c r="A309">
        <v>308</v>
      </c>
      <c r="B309">
        <v>35</v>
      </c>
      <c r="C309" t="s">
        <v>16</v>
      </c>
      <c r="D309" t="s">
        <v>12</v>
      </c>
      <c r="E309" t="s">
        <v>23</v>
      </c>
      <c r="F309" s="38">
        <v>4774</v>
      </c>
      <c r="G309" t="s">
        <v>14</v>
      </c>
      <c r="H309" t="s">
        <v>21</v>
      </c>
      <c r="I309" s="38">
        <v>3476.7</v>
      </c>
      <c r="J309">
        <v>24</v>
      </c>
      <c r="K309">
        <v>0</v>
      </c>
    </row>
    <row r="310" spans="1:11">
      <c r="A310">
        <v>309</v>
      </c>
      <c r="B310">
        <v>72</v>
      </c>
      <c r="C310" t="s">
        <v>16</v>
      </c>
      <c r="D310" t="s">
        <v>12</v>
      </c>
      <c r="E310" t="s">
        <v>13</v>
      </c>
      <c r="F310" s="38">
        <v>6109</v>
      </c>
      <c r="G310" t="s">
        <v>14</v>
      </c>
      <c r="H310" t="s">
        <v>15</v>
      </c>
      <c r="I310" s="38">
        <v>513.9</v>
      </c>
      <c r="J310">
        <v>21</v>
      </c>
      <c r="K310">
        <v>0</v>
      </c>
    </row>
    <row r="311" hidden="1" spans="1:11">
      <c r="A311">
        <v>310</v>
      </c>
      <c r="B311">
        <v>51</v>
      </c>
      <c r="C311" t="s">
        <v>11</v>
      </c>
      <c r="D311" t="s">
        <v>24</v>
      </c>
      <c r="E311" t="s">
        <v>13</v>
      </c>
      <c r="F311" s="38">
        <v>5455</v>
      </c>
      <c r="G311" t="s">
        <v>14</v>
      </c>
      <c r="H311" t="s">
        <v>21</v>
      </c>
      <c r="I311" s="38">
        <v>3234.6</v>
      </c>
      <c r="J311">
        <v>15</v>
      </c>
      <c r="K311">
        <v>0</v>
      </c>
    </row>
    <row r="312" hidden="1" spans="1:11">
      <c r="A312">
        <v>311</v>
      </c>
      <c r="B312">
        <v>41</v>
      </c>
      <c r="C312" t="s">
        <v>16</v>
      </c>
      <c r="D312" t="s">
        <v>12</v>
      </c>
      <c r="E312" t="s">
        <v>23</v>
      </c>
      <c r="F312" s="38">
        <v>1567</v>
      </c>
      <c r="G312" t="s">
        <v>14</v>
      </c>
      <c r="H312" t="s">
        <v>15</v>
      </c>
      <c r="I312" s="38">
        <v>6964.1</v>
      </c>
      <c r="J312">
        <v>48</v>
      </c>
      <c r="K312">
        <v>1</v>
      </c>
    </row>
    <row r="313" hidden="1" spans="1:11">
      <c r="A313">
        <v>312</v>
      </c>
      <c r="B313">
        <v>35</v>
      </c>
      <c r="C313" t="s">
        <v>16</v>
      </c>
      <c r="D313" t="s">
        <v>17</v>
      </c>
      <c r="E313" t="s">
        <v>22</v>
      </c>
      <c r="F313" s="38">
        <v>1882</v>
      </c>
      <c r="G313" t="s">
        <v>14</v>
      </c>
      <c r="H313" t="s">
        <v>15</v>
      </c>
      <c r="I313" s="38">
        <v>3679.5</v>
      </c>
      <c r="J313">
        <v>24</v>
      </c>
      <c r="K313">
        <v>1</v>
      </c>
    </row>
    <row r="314" hidden="1" spans="1:11">
      <c r="A314">
        <v>313</v>
      </c>
      <c r="B314">
        <v>32</v>
      </c>
      <c r="C314" t="s">
        <v>16</v>
      </c>
      <c r="D314" t="s">
        <v>12</v>
      </c>
      <c r="E314" t="s">
        <v>22</v>
      </c>
      <c r="F314" s="38">
        <v>1832</v>
      </c>
      <c r="G314" t="s">
        <v>20</v>
      </c>
      <c r="H314" t="s">
        <v>21</v>
      </c>
      <c r="I314" s="38">
        <v>6449.4</v>
      </c>
      <c r="J314">
        <v>42</v>
      </c>
      <c r="K314">
        <v>0</v>
      </c>
    </row>
    <row r="315" hidden="1" spans="1:11">
      <c r="A315">
        <v>314</v>
      </c>
      <c r="B315">
        <v>21</v>
      </c>
      <c r="C315" t="s">
        <v>11</v>
      </c>
      <c r="D315" t="s">
        <v>12</v>
      </c>
      <c r="E315" t="s">
        <v>22</v>
      </c>
      <c r="F315" s="38">
        <v>1805</v>
      </c>
      <c r="G315" t="s">
        <v>14</v>
      </c>
      <c r="H315" t="s">
        <v>15</v>
      </c>
      <c r="I315" s="38">
        <v>1586.2</v>
      </c>
      <c r="J315">
        <v>24</v>
      </c>
      <c r="K315">
        <v>1</v>
      </c>
    </row>
    <row r="316" hidden="1" spans="1:11">
      <c r="A316">
        <v>315</v>
      </c>
      <c r="B316">
        <v>50</v>
      </c>
      <c r="C316" t="s">
        <v>16</v>
      </c>
      <c r="D316" t="s">
        <v>17</v>
      </c>
      <c r="E316" t="s">
        <v>13</v>
      </c>
      <c r="F316" s="38">
        <v>4956</v>
      </c>
      <c r="G316" t="s">
        <v>18</v>
      </c>
      <c r="H316" t="s">
        <v>21</v>
      </c>
      <c r="I316" s="38">
        <v>7729.2</v>
      </c>
      <c r="J316">
        <v>39</v>
      </c>
      <c r="K316">
        <v>0</v>
      </c>
    </row>
    <row r="317" hidden="1" spans="1:11">
      <c r="A317">
        <v>316</v>
      </c>
      <c r="B317">
        <v>24</v>
      </c>
      <c r="C317" t="s">
        <v>16</v>
      </c>
      <c r="D317" t="s">
        <v>12</v>
      </c>
      <c r="E317" t="s">
        <v>13</v>
      </c>
      <c r="F317" s="38">
        <v>3359</v>
      </c>
      <c r="G317" t="s">
        <v>20</v>
      </c>
      <c r="H317" t="s">
        <v>15</v>
      </c>
      <c r="I317" s="38">
        <v>7510.8</v>
      </c>
      <c r="J317">
        <v>21</v>
      </c>
      <c r="K317">
        <v>1</v>
      </c>
    </row>
    <row r="318" hidden="1" spans="1:11">
      <c r="A318">
        <v>317</v>
      </c>
      <c r="B318">
        <v>32</v>
      </c>
      <c r="C318" t="s">
        <v>11</v>
      </c>
      <c r="D318" t="s">
        <v>12</v>
      </c>
      <c r="E318" t="s">
        <v>13</v>
      </c>
      <c r="F318" s="38">
        <v>1848</v>
      </c>
      <c r="G318" t="s">
        <v>14</v>
      </c>
      <c r="H318" t="s">
        <v>19</v>
      </c>
      <c r="I318" s="38">
        <v>614.7</v>
      </c>
      <c r="J318">
        <v>6</v>
      </c>
      <c r="K318">
        <v>0</v>
      </c>
    </row>
    <row r="319" hidden="1" spans="1:11">
      <c r="A319">
        <v>318</v>
      </c>
      <c r="B319">
        <v>54</v>
      </c>
      <c r="C319" t="s">
        <v>16</v>
      </c>
      <c r="D319" t="s">
        <v>24</v>
      </c>
      <c r="E319" t="s">
        <v>13</v>
      </c>
      <c r="F319" s="38">
        <v>3938</v>
      </c>
      <c r="G319" t="s">
        <v>14</v>
      </c>
      <c r="H319" t="s">
        <v>25</v>
      </c>
      <c r="I319" s="38">
        <v>2811.6</v>
      </c>
      <c r="J319">
        <v>12</v>
      </c>
      <c r="K319">
        <v>0</v>
      </c>
    </row>
    <row r="320" hidden="1" spans="1:11">
      <c r="A320">
        <v>319</v>
      </c>
      <c r="B320">
        <v>27</v>
      </c>
      <c r="C320" t="s">
        <v>11</v>
      </c>
      <c r="D320" t="s">
        <v>17</v>
      </c>
      <c r="E320" t="s">
        <v>13</v>
      </c>
      <c r="F320" s="38">
        <v>1615</v>
      </c>
      <c r="G320" t="s">
        <v>14</v>
      </c>
      <c r="H320" t="s">
        <v>25</v>
      </c>
      <c r="I320" s="38">
        <v>5605.6</v>
      </c>
      <c r="J320">
        <v>48</v>
      </c>
      <c r="K320">
        <v>1</v>
      </c>
    </row>
    <row r="321" hidden="1" spans="1:11">
      <c r="A321">
        <v>320</v>
      </c>
      <c r="B321">
        <v>23</v>
      </c>
      <c r="C321" t="s">
        <v>11</v>
      </c>
      <c r="D321" t="s">
        <v>17</v>
      </c>
      <c r="E321" t="s">
        <v>13</v>
      </c>
      <c r="F321" s="38">
        <v>3100</v>
      </c>
      <c r="G321" t="s">
        <v>14</v>
      </c>
      <c r="H321" t="s">
        <v>21</v>
      </c>
      <c r="I321" s="38">
        <v>12071.4</v>
      </c>
      <c r="J321">
        <v>36</v>
      </c>
      <c r="K321">
        <v>1</v>
      </c>
    </row>
    <row r="322" hidden="1" spans="1:11">
      <c r="A322">
        <v>321</v>
      </c>
      <c r="B322">
        <v>28</v>
      </c>
      <c r="C322" t="s">
        <v>16</v>
      </c>
      <c r="D322" t="s">
        <v>12</v>
      </c>
      <c r="E322" t="s">
        <v>13</v>
      </c>
      <c r="F322" s="38">
        <v>5725</v>
      </c>
      <c r="G322" t="s">
        <v>14</v>
      </c>
      <c r="H322" t="s">
        <v>19</v>
      </c>
      <c r="I322" s="38">
        <v>4636.8</v>
      </c>
      <c r="J322">
        <v>24</v>
      </c>
      <c r="K322">
        <v>0</v>
      </c>
    </row>
    <row r="323" hidden="1" spans="1:11">
      <c r="A323">
        <v>322</v>
      </c>
      <c r="B323">
        <v>21</v>
      </c>
      <c r="C323" t="s">
        <v>11</v>
      </c>
      <c r="D323" t="s">
        <v>12</v>
      </c>
      <c r="E323" t="s">
        <v>22</v>
      </c>
      <c r="F323" s="38">
        <v>1446</v>
      </c>
      <c r="G323" t="s">
        <v>14</v>
      </c>
      <c r="H323" t="s">
        <v>15</v>
      </c>
      <c r="I323" s="38">
        <v>1337.6</v>
      </c>
      <c r="J323">
        <v>18</v>
      </c>
      <c r="K323">
        <v>1</v>
      </c>
    </row>
    <row r="324" hidden="1" spans="1:11">
      <c r="A324">
        <v>323</v>
      </c>
      <c r="B324">
        <v>31</v>
      </c>
      <c r="C324" t="s">
        <v>11</v>
      </c>
      <c r="D324" t="s">
        <v>17</v>
      </c>
      <c r="E324" t="s">
        <v>13</v>
      </c>
      <c r="F324" s="38">
        <v>3820</v>
      </c>
      <c r="G324" t="s">
        <v>14</v>
      </c>
      <c r="H324" t="s">
        <v>21</v>
      </c>
      <c r="I324" s="38">
        <v>2270.4</v>
      </c>
      <c r="J324">
        <v>24</v>
      </c>
      <c r="K324">
        <v>1</v>
      </c>
    </row>
    <row r="325" hidden="1" spans="1:11">
      <c r="A325">
        <v>324</v>
      </c>
      <c r="B325">
        <v>53</v>
      </c>
      <c r="C325" t="s">
        <v>16</v>
      </c>
      <c r="D325" t="s">
        <v>24</v>
      </c>
      <c r="E325" t="s">
        <v>22</v>
      </c>
      <c r="F325" s="38">
        <v>1743</v>
      </c>
      <c r="G325" t="s">
        <v>14</v>
      </c>
      <c r="H325" t="s">
        <v>15</v>
      </c>
      <c r="I325" s="38">
        <v>2016.9</v>
      </c>
      <c r="J325">
        <v>10</v>
      </c>
      <c r="K325">
        <v>0</v>
      </c>
    </row>
    <row r="326" hidden="1" spans="1:11">
      <c r="A326">
        <v>325</v>
      </c>
      <c r="B326">
        <v>54</v>
      </c>
      <c r="C326" t="s">
        <v>11</v>
      </c>
      <c r="D326" t="s">
        <v>12</v>
      </c>
      <c r="E326" t="s">
        <v>13</v>
      </c>
      <c r="F326" s="38">
        <v>4513</v>
      </c>
      <c r="G326" t="s">
        <v>14</v>
      </c>
      <c r="H326" t="s">
        <v>15</v>
      </c>
      <c r="I326" s="38">
        <v>385.2</v>
      </c>
      <c r="J326">
        <v>6</v>
      </c>
      <c r="K326">
        <v>0</v>
      </c>
    </row>
    <row r="327" hidden="1" spans="1:11">
      <c r="A327">
        <v>326</v>
      </c>
      <c r="B327">
        <v>38</v>
      </c>
      <c r="C327" t="s">
        <v>11</v>
      </c>
      <c r="D327" t="s">
        <v>17</v>
      </c>
      <c r="E327" t="s">
        <v>23</v>
      </c>
      <c r="F327" s="38">
        <v>2549</v>
      </c>
      <c r="G327" t="s">
        <v>14</v>
      </c>
      <c r="H327" t="s">
        <v>15</v>
      </c>
      <c r="I327" s="38">
        <v>8539.3</v>
      </c>
      <c r="J327">
        <v>48</v>
      </c>
      <c r="K327">
        <v>1</v>
      </c>
    </row>
    <row r="328" hidden="1" spans="1:11">
      <c r="A328">
        <v>327</v>
      </c>
      <c r="B328">
        <v>41</v>
      </c>
      <c r="C328" t="s">
        <v>16</v>
      </c>
      <c r="D328" t="s">
        <v>17</v>
      </c>
      <c r="E328" t="s">
        <v>13</v>
      </c>
      <c r="F328" s="38">
        <v>2566</v>
      </c>
      <c r="G328" t="s">
        <v>20</v>
      </c>
      <c r="H328" t="s">
        <v>19</v>
      </c>
      <c r="I328" s="38">
        <v>3059.1</v>
      </c>
      <c r="J328">
        <v>12</v>
      </c>
      <c r="K328">
        <v>0</v>
      </c>
    </row>
    <row r="329" hidden="1" spans="1:11">
      <c r="A329">
        <v>328</v>
      </c>
      <c r="B329">
        <v>22</v>
      </c>
      <c r="C329" t="s">
        <v>16</v>
      </c>
      <c r="D329" t="s">
        <v>12</v>
      </c>
      <c r="E329" t="s">
        <v>13</v>
      </c>
      <c r="F329" s="38">
        <v>2592</v>
      </c>
      <c r="G329" t="s">
        <v>14</v>
      </c>
      <c r="H329" t="s">
        <v>15</v>
      </c>
      <c r="I329" s="38">
        <v>5416.4</v>
      </c>
      <c r="J329">
        <v>18</v>
      </c>
      <c r="K329">
        <v>1</v>
      </c>
    </row>
    <row r="330" hidden="1" spans="1:11">
      <c r="A330">
        <v>329</v>
      </c>
      <c r="B330">
        <v>51</v>
      </c>
      <c r="C330" t="s">
        <v>16</v>
      </c>
      <c r="D330" t="s">
        <v>24</v>
      </c>
      <c r="E330" t="s">
        <v>13</v>
      </c>
      <c r="F330" s="38">
        <v>3576</v>
      </c>
      <c r="G330" t="s">
        <v>14</v>
      </c>
      <c r="H330" t="s">
        <v>15</v>
      </c>
      <c r="I330" s="38">
        <v>779.9</v>
      </c>
      <c r="J330">
        <v>12</v>
      </c>
      <c r="K330">
        <v>1</v>
      </c>
    </row>
    <row r="331" hidden="1" spans="1:11">
      <c r="A331">
        <v>330</v>
      </c>
      <c r="B331">
        <v>35</v>
      </c>
      <c r="C331" t="s">
        <v>16</v>
      </c>
      <c r="D331" t="s">
        <v>12</v>
      </c>
      <c r="E331" t="s">
        <v>13</v>
      </c>
      <c r="F331" s="38">
        <v>2394</v>
      </c>
      <c r="G331" t="s">
        <v>18</v>
      </c>
      <c r="H331" t="s">
        <v>15</v>
      </c>
      <c r="I331" s="38">
        <v>8613</v>
      </c>
      <c r="J331">
        <v>27</v>
      </c>
      <c r="K331">
        <v>1</v>
      </c>
    </row>
    <row r="332" hidden="1" spans="1:11">
      <c r="A332">
        <v>331</v>
      </c>
      <c r="B332">
        <v>30</v>
      </c>
      <c r="C332" t="s">
        <v>16</v>
      </c>
      <c r="D332" t="s">
        <v>24</v>
      </c>
      <c r="E332" t="s">
        <v>13</v>
      </c>
      <c r="F332" s="38">
        <v>4663</v>
      </c>
      <c r="G332" t="s">
        <v>18</v>
      </c>
      <c r="H332" t="s">
        <v>21</v>
      </c>
      <c r="I332" s="38">
        <v>3725.1</v>
      </c>
      <c r="J332">
        <v>24</v>
      </c>
      <c r="K332">
        <v>0</v>
      </c>
    </row>
    <row r="333" hidden="1" spans="1:11">
      <c r="A333">
        <v>332</v>
      </c>
      <c r="B333">
        <v>44</v>
      </c>
      <c r="C333" t="s">
        <v>16</v>
      </c>
      <c r="D333" t="s">
        <v>17</v>
      </c>
      <c r="E333" t="s">
        <v>22</v>
      </c>
      <c r="F333" s="38">
        <v>3426</v>
      </c>
      <c r="G333" t="s">
        <v>14</v>
      </c>
      <c r="H333" t="s">
        <v>19</v>
      </c>
      <c r="I333" s="38">
        <v>1714.5</v>
      </c>
      <c r="J333">
        <v>15</v>
      </c>
      <c r="K333">
        <v>0</v>
      </c>
    </row>
    <row r="334" hidden="1" spans="1:11">
      <c r="A334">
        <v>333</v>
      </c>
      <c r="B334">
        <v>22</v>
      </c>
      <c r="C334" t="s">
        <v>16</v>
      </c>
      <c r="D334" t="s">
        <v>17</v>
      </c>
      <c r="E334" t="s">
        <v>22</v>
      </c>
      <c r="F334" s="38">
        <v>4590</v>
      </c>
      <c r="G334" t="s">
        <v>14</v>
      </c>
      <c r="H334" t="s">
        <v>15</v>
      </c>
      <c r="I334" s="38">
        <v>996.3</v>
      </c>
      <c r="J334">
        <v>12</v>
      </c>
      <c r="K334">
        <v>0</v>
      </c>
    </row>
    <row r="335" hidden="1" spans="1:11">
      <c r="A335">
        <v>334</v>
      </c>
      <c r="B335">
        <v>38</v>
      </c>
      <c r="C335" t="s">
        <v>16</v>
      </c>
      <c r="D335" t="s">
        <v>17</v>
      </c>
      <c r="E335" t="s">
        <v>13</v>
      </c>
      <c r="F335" s="38">
        <v>1907</v>
      </c>
      <c r="G335" t="s">
        <v>14</v>
      </c>
      <c r="H335" t="s">
        <v>21</v>
      </c>
      <c r="I335" s="38">
        <v>2521.2</v>
      </c>
      <c r="J335">
        <v>12</v>
      </c>
      <c r="K335">
        <v>1</v>
      </c>
    </row>
    <row r="336" hidden="1" spans="1:11">
      <c r="A336">
        <v>335</v>
      </c>
      <c r="B336">
        <v>70</v>
      </c>
      <c r="C336" t="s">
        <v>11</v>
      </c>
      <c r="D336" t="s">
        <v>12</v>
      </c>
      <c r="E336" t="s">
        <v>13</v>
      </c>
      <c r="F336" s="38">
        <v>2782</v>
      </c>
      <c r="G336" t="s">
        <v>18</v>
      </c>
      <c r="H336" t="s">
        <v>21</v>
      </c>
      <c r="I336" s="38">
        <v>1268.1</v>
      </c>
      <c r="J336">
        <v>13</v>
      </c>
      <c r="K336">
        <v>0</v>
      </c>
    </row>
    <row r="337" hidden="1" spans="1:11">
      <c r="A337">
        <v>336</v>
      </c>
      <c r="B337">
        <v>26</v>
      </c>
      <c r="C337" t="s">
        <v>16</v>
      </c>
      <c r="D337" t="s">
        <v>12</v>
      </c>
      <c r="E337" t="s">
        <v>13</v>
      </c>
      <c r="F337" s="38">
        <v>4167</v>
      </c>
      <c r="G337" t="s">
        <v>14</v>
      </c>
      <c r="H337" t="s">
        <v>15</v>
      </c>
      <c r="I337" s="38">
        <v>5696.9</v>
      </c>
      <c r="J337">
        <v>36</v>
      </c>
      <c r="K337">
        <v>1</v>
      </c>
    </row>
    <row r="338" hidden="1" spans="1:11">
      <c r="A338">
        <v>337</v>
      </c>
      <c r="B338">
        <v>50</v>
      </c>
      <c r="C338" t="s">
        <v>16</v>
      </c>
      <c r="D338" t="s">
        <v>12</v>
      </c>
      <c r="E338" t="s">
        <v>23</v>
      </c>
      <c r="F338" s="38">
        <v>5230</v>
      </c>
      <c r="G338" t="s">
        <v>20</v>
      </c>
      <c r="H338" t="s">
        <v>21</v>
      </c>
      <c r="I338" s="38">
        <v>1170</v>
      </c>
      <c r="J338">
        <v>15</v>
      </c>
      <c r="K338">
        <v>0</v>
      </c>
    </row>
    <row r="339" hidden="1" spans="1:11">
      <c r="A339">
        <v>338</v>
      </c>
      <c r="B339">
        <v>31</v>
      </c>
      <c r="C339" t="s">
        <v>11</v>
      </c>
      <c r="D339" t="s">
        <v>17</v>
      </c>
      <c r="E339" t="s">
        <v>13</v>
      </c>
      <c r="F339" s="38">
        <v>2960</v>
      </c>
      <c r="G339" t="s">
        <v>20</v>
      </c>
      <c r="H339" t="s">
        <v>21</v>
      </c>
      <c r="I339" s="38">
        <v>1753.4</v>
      </c>
      <c r="J339">
        <v>12</v>
      </c>
      <c r="K339">
        <v>1</v>
      </c>
    </row>
    <row r="340" spans="1:11">
      <c r="A340">
        <v>339</v>
      </c>
      <c r="B340">
        <v>74</v>
      </c>
      <c r="C340" t="s">
        <v>11</v>
      </c>
      <c r="D340" t="s">
        <v>12</v>
      </c>
      <c r="E340" t="s">
        <v>13</v>
      </c>
      <c r="F340" s="38">
        <v>6727</v>
      </c>
      <c r="G340" t="s">
        <v>14</v>
      </c>
      <c r="H340" t="s">
        <v>25</v>
      </c>
      <c r="I340" s="38">
        <v>3484.8</v>
      </c>
      <c r="J340">
        <v>18</v>
      </c>
      <c r="K340">
        <v>0</v>
      </c>
    </row>
    <row r="341" spans="1:11">
      <c r="A341">
        <v>340</v>
      </c>
      <c r="B341">
        <v>70</v>
      </c>
      <c r="C341" t="s">
        <v>11</v>
      </c>
      <c r="D341" t="s">
        <v>12</v>
      </c>
      <c r="E341" t="s">
        <v>13</v>
      </c>
      <c r="F341" s="38">
        <v>6621</v>
      </c>
      <c r="G341" t="s">
        <v>14</v>
      </c>
      <c r="H341" t="s">
        <v>21</v>
      </c>
      <c r="I341" s="38">
        <v>1227.6</v>
      </c>
      <c r="J341">
        <v>10</v>
      </c>
      <c r="K341">
        <v>0</v>
      </c>
    </row>
    <row r="342" hidden="1" spans="1:11">
      <c r="A342">
        <v>341</v>
      </c>
      <c r="B342">
        <v>29</v>
      </c>
      <c r="C342" t="s">
        <v>16</v>
      </c>
      <c r="D342" t="s">
        <v>24</v>
      </c>
      <c r="E342" t="s">
        <v>13</v>
      </c>
      <c r="F342" s="38">
        <v>5295</v>
      </c>
      <c r="G342" t="s">
        <v>18</v>
      </c>
      <c r="H342" t="s">
        <v>21</v>
      </c>
      <c r="I342" s="38">
        <v>3844.8</v>
      </c>
      <c r="J342">
        <v>30</v>
      </c>
      <c r="K342">
        <v>0</v>
      </c>
    </row>
    <row r="343" hidden="1" spans="1:11">
      <c r="A343">
        <v>342</v>
      </c>
      <c r="B343">
        <v>21</v>
      </c>
      <c r="C343" t="s">
        <v>11</v>
      </c>
      <c r="D343" t="s">
        <v>17</v>
      </c>
      <c r="E343" t="s">
        <v>22</v>
      </c>
      <c r="F343" s="38">
        <v>2633</v>
      </c>
      <c r="G343" t="s">
        <v>14</v>
      </c>
      <c r="H343" t="s">
        <v>15</v>
      </c>
      <c r="I343" s="38">
        <v>4521</v>
      </c>
      <c r="J343">
        <v>24</v>
      </c>
      <c r="K343">
        <v>1</v>
      </c>
    </row>
    <row r="344" hidden="1" spans="1:11">
      <c r="A344">
        <v>343</v>
      </c>
      <c r="B344">
        <v>24</v>
      </c>
      <c r="C344" t="s">
        <v>16</v>
      </c>
      <c r="D344" t="s">
        <v>12</v>
      </c>
      <c r="E344" t="s">
        <v>23</v>
      </c>
      <c r="F344" s="38">
        <v>5654</v>
      </c>
      <c r="G344" t="s">
        <v>14</v>
      </c>
      <c r="H344" t="s">
        <v>15</v>
      </c>
      <c r="I344" s="38">
        <v>3575.7</v>
      </c>
      <c r="J344">
        <v>14</v>
      </c>
      <c r="K344">
        <v>0</v>
      </c>
    </row>
    <row r="345" hidden="1" spans="1:11">
      <c r="A345">
        <v>344</v>
      </c>
      <c r="B345">
        <v>21</v>
      </c>
      <c r="C345" t="s">
        <v>11</v>
      </c>
      <c r="D345" t="s">
        <v>17</v>
      </c>
      <c r="E345" t="s">
        <v>22</v>
      </c>
      <c r="F345" s="38">
        <v>3236</v>
      </c>
      <c r="G345" t="s">
        <v>14</v>
      </c>
      <c r="H345" t="s">
        <v>21</v>
      </c>
      <c r="I345" s="38">
        <v>6851.9</v>
      </c>
      <c r="J345">
        <v>36</v>
      </c>
      <c r="K345">
        <v>1</v>
      </c>
    </row>
    <row r="346" hidden="1" spans="1:11">
      <c r="A346">
        <v>345</v>
      </c>
      <c r="B346">
        <v>26</v>
      </c>
      <c r="C346" t="s">
        <v>16</v>
      </c>
      <c r="D346" t="s">
        <v>12</v>
      </c>
      <c r="E346" t="s">
        <v>13</v>
      </c>
      <c r="F346" s="38">
        <v>1749</v>
      </c>
      <c r="G346" t="s">
        <v>20</v>
      </c>
      <c r="H346" t="s">
        <v>19</v>
      </c>
      <c r="I346" s="38">
        <v>1827</v>
      </c>
      <c r="J346">
        <v>9</v>
      </c>
      <c r="K346">
        <v>0</v>
      </c>
    </row>
    <row r="347" hidden="1" spans="1:11">
      <c r="A347">
        <v>346</v>
      </c>
      <c r="B347">
        <v>30</v>
      </c>
      <c r="C347" t="s">
        <v>11</v>
      </c>
      <c r="D347" t="s">
        <v>12</v>
      </c>
      <c r="E347" t="s">
        <v>13</v>
      </c>
      <c r="F347" s="38">
        <v>2112</v>
      </c>
      <c r="G347" t="s">
        <v>20</v>
      </c>
      <c r="H347" t="s">
        <v>19</v>
      </c>
      <c r="I347" s="38">
        <v>1146.2</v>
      </c>
      <c r="J347">
        <v>18</v>
      </c>
      <c r="K347">
        <v>1</v>
      </c>
    </row>
    <row r="348" hidden="1" spans="1:11">
      <c r="A348">
        <v>347</v>
      </c>
      <c r="B348">
        <v>41</v>
      </c>
      <c r="C348" t="s">
        <v>16</v>
      </c>
      <c r="D348" t="s">
        <v>12</v>
      </c>
      <c r="E348" t="s">
        <v>13</v>
      </c>
      <c r="F348" s="38">
        <v>3507</v>
      </c>
      <c r="G348" t="s">
        <v>14</v>
      </c>
      <c r="H348" t="s">
        <v>15</v>
      </c>
      <c r="I348" s="38">
        <v>766.7</v>
      </c>
      <c r="J348">
        <v>12</v>
      </c>
      <c r="K348">
        <v>1</v>
      </c>
    </row>
    <row r="349" hidden="1" spans="1:11">
      <c r="A349">
        <v>348</v>
      </c>
      <c r="B349">
        <v>67</v>
      </c>
      <c r="C349" t="s">
        <v>16</v>
      </c>
      <c r="D349" t="s">
        <v>12</v>
      </c>
      <c r="E349" t="s">
        <v>23</v>
      </c>
      <c r="F349" s="38">
        <v>5458</v>
      </c>
      <c r="G349" t="s">
        <v>20</v>
      </c>
      <c r="H349" t="s">
        <v>19</v>
      </c>
      <c r="I349" s="38">
        <v>1115.1</v>
      </c>
      <c r="J349">
        <v>18</v>
      </c>
      <c r="K349">
        <v>0</v>
      </c>
    </row>
    <row r="350" spans="1:11">
      <c r="A350">
        <v>349</v>
      </c>
      <c r="B350">
        <v>25</v>
      </c>
      <c r="C350" t="s">
        <v>11</v>
      </c>
      <c r="D350" t="s">
        <v>12</v>
      </c>
      <c r="E350" t="s">
        <v>13</v>
      </c>
      <c r="F350" s="38">
        <v>6609</v>
      </c>
      <c r="G350" t="s">
        <v>14</v>
      </c>
      <c r="H350" t="s">
        <v>21</v>
      </c>
      <c r="I350" s="38">
        <v>2059.2</v>
      </c>
      <c r="J350">
        <v>21</v>
      </c>
      <c r="K350">
        <v>0</v>
      </c>
    </row>
    <row r="351" hidden="1" spans="1:11">
      <c r="A351">
        <v>350</v>
      </c>
      <c r="B351">
        <v>21</v>
      </c>
      <c r="C351" t="s">
        <v>11</v>
      </c>
      <c r="D351" t="s">
        <v>24</v>
      </c>
      <c r="E351" t="s">
        <v>22</v>
      </c>
      <c r="F351" s="38">
        <v>3937</v>
      </c>
      <c r="G351" t="s">
        <v>26</v>
      </c>
      <c r="H351" t="s">
        <v>25</v>
      </c>
      <c r="I351" s="38">
        <v>884.7</v>
      </c>
      <c r="J351">
        <v>12</v>
      </c>
      <c r="K351">
        <v>0</v>
      </c>
    </row>
    <row r="352" hidden="1" spans="1:11">
      <c r="A352">
        <v>351</v>
      </c>
      <c r="B352">
        <v>32</v>
      </c>
      <c r="C352" t="s">
        <v>16</v>
      </c>
      <c r="D352" t="s">
        <v>12</v>
      </c>
      <c r="E352" t="s">
        <v>13</v>
      </c>
      <c r="F352" s="38">
        <v>4076</v>
      </c>
      <c r="G352" t="s">
        <v>14</v>
      </c>
      <c r="H352" t="s">
        <v>15</v>
      </c>
      <c r="I352" s="38">
        <v>760.1</v>
      </c>
      <c r="J352">
        <v>12</v>
      </c>
      <c r="K352">
        <v>1</v>
      </c>
    </row>
    <row r="353" hidden="1" spans="1:11">
      <c r="A353">
        <v>352</v>
      </c>
      <c r="B353">
        <v>35</v>
      </c>
      <c r="C353" t="s">
        <v>16</v>
      </c>
      <c r="D353" t="s">
        <v>12</v>
      </c>
      <c r="E353" t="s">
        <v>13</v>
      </c>
      <c r="F353" s="38">
        <v>3972</v>
      </c>
      <c r="G353" t="s">
        <v>14</v>
      </c>
      <c r="H353" t="s">
        <v>25</v>
      </c>
      <c r="I353" s="38">
        <v>2045.7</v>
      </c>
      <c r="J353">
        <v>36</v>
      </c>
      <c r="K353">
        <v>0</v>
      </c>
    </row>
    <row r="354" hidden="1" spans="1:11">
      <c r="A354">
        <v>353</v>
      </c>
      <c r="B354">
        <v>26</v>
      </c>
      <c r="C354" t="s">
        <v>11</v>
      </c>
      <c r="D354" t="s">
        <v>24</v>
      </c>
      <c r="E354" t="s">
        <v>22</v>
      </c>
      <c r="F354" s="38">
        <v>5835</v>
      </c>
      <c r="G354" t="s">
        <v>20</v>
      </c>
      <c r="H354" t="s">
        <v>21</v>
      </c>
      <c r="I354" s="38">
        <v>4329.9</v>
      </c>
      <c r="J354">
        <v>30</v>
      </c>
      <c r="K354">
        <v>0</v>
      </c>
    </row>
    <row r="355" hidden="1" spans="1:11">
      <c r="A355">
        <v>354</v>
      </c>
      <c r="B355">
        <v>33</v>
      </c>
      <c r="C355" t="s">
        <v>16</v>
      </c>
      <c r="D355" t="s">
        <v>12</v>
      </c>
      <c r="E355" t="s">
        <v>22</v>
      </c>
      <c r="F355" s="38">
        <v>2990</v>
      </c>
      <c r="G355" t="s">
        <v>20</v>
      </c>
      <c r="H355" t="s">
        <v>21</v>
      </c>
      <c r="I355" s="38">
        <v>12898.8</v>
      </c>
      <c r="J355">
        <v>42</v>
      </c>
      <c r="K355">
        <v>0</v>
      </c>
    </row>
    <row r="356" hidden="1" spans="1:11">
      <c r="A356">
        <v>355</v>
      </c>
      <c r="B356">
        <v>36</v>
      </c>
      <c r="C356" t="s">
        <v>11</v>
      </c>
      <c r="D356" t="s">
        <v>24</v>
      </c>
      <c r="E356" t="s">
        <v>22</v>
      </c>
      <c r="F356" s="38">
        <v>2802</v>
      </c>
      <c r="G356" t="s">
        <v>20</v>
      </c>
      <c r="H356" t="s">
        <v>21</v>
      </c>
      <c r="I356" s="38">
        <v>1967.4</v>
      </c>
      <c r="J356">
        <v>15</v>
      </c>
      <c r="K356">
        <v>0</v>
      </c>
    </row>
    <row r="357" hidden="1" spans="1:11">
      <c r="A357">
        <v>356</v>
      </c>
      <c r="B357">
        <v>41</v>
      </c>
      <c r="C357" t="s">
        <v>16</v>
      </c>
      <c r="D357" t="s">
        <v>12</v>
      </c>
      <c r="E357" t="s">
        <v>23</v>
      </c>
      <c r="F357" s="38">
        <v>4958</v>
      </c>
      <c r="G357" t="s">
        <v>20</v>
      </c>
      <c r="H357" t="s">
        <v>21</v>
      </c>
      <c r="I357" s="38">
        <v>2051.1</v>
      </c>
      <c r="J357">
        <v>12</v>
      </c>
      <c r="K357">
        <v>0</v>
      </c>
    </row>
    <row r="358" hidden="1" spans="1:11">
      <c r="A358">
        <v>357</v>
      </c>
      <c r="B358">
        <v>64</v>
      </c>
      <c r="C358" t="s">
        <v>11</v>
      </c>
      <c r="D358" t="s">
        <v>24</v>
      </c>
      <c r="E358" t="s">
        <v>13</v>
      </c>
      <c r="F358" s="38">
        <v>4551</v>
      </c>
      <c r="G358" t="s">
        <v>26</v>
      </c>
      <c r="H358" t="s">
        <v>19</v>
      </c>
      <c r="I358" s="38">
        <v>2264.4</v>
      </c>
      <c r="J358">
        <v>24</v>
      </c>
      <c r="K358">
        <v>0</v>
      </c>
    </row>
    <row r="359" hidden="1" spans="1:11">
      <c r="A359">
        <v>358</v>
      </c>
      <c r="B359">
        <v>50</v>
      </c>
      <c r="C359" t="s">
        <v>11</v>
      </c>
      <c r="D359" t="s">
        <v>12</v>
      </c>
      <c r="E359" t="s">
        <v>13</v>
      </c>
      <c r="F359" s="38">
        <v>5639</v>
      </c>
      <c r="G359" t="s">
        <v>14</v>
      </c>
      <c r="H359" t="s">
        <v>25</v>
      </c>
      <c r="I359" s="38">
        <v>2096.1</v>
      </c>
      <c r="J359">
        <v>7</v>
      </c>
      <c r="K359">
        <v>0</v>
      </c>
    </row>
    <row r="360" hidden="1" spans="1:11">
      <c r="A360">
        <v>359</v>
      </c>
      <c r="B360">
        <v>36</v>
      </c>
      <c r="C360" t="s">
        <v>11</v>
      </c>
      <c r="D360" t="s">
        <v>17</v>
      </c>
      <c r="E360" t="s">
        <v>13</v>
      </c>
      <c r="F360" s="38">
        <v>3991</v>
      </c>
      <c r="G360" t="s">
        <v>18</v>
      </c>
      <c r="H360" t="s">
        <v>15</v>
      </c>
      <c r="I360" s="38">
        <v>4726.7</v>
      </c>
      <c r="J360">
        <v>18</v>
      </c>
      <c r="K360">
        <v>1</v>
      </c>
    </row>
    <row r="361" hidden="1" spans="1:11">
      <c r="A361">
        <v>360</v>
      </c>
      <c r="B361">
        <v>42</v>
      </c>
      <c r="C361" t="s">
        <v>16</v>
      </c>
      <c r="D361" t="s">
        <v>24</v>
      </c>
      <c r="E361" t="s">
        <v>13</v>
      </c>
      <c r="F361" s="38">
        <v>2794</v>
      </c>
      <c r="G361" t="s">
        <v>20</v>
      </c>
      <c r="H361" t="s">
        <v>15</v>
      </c>
      <c r="I361" s="38">
        <v>1338.7</v>
      </c>
      <c r="J361">
        <v>18</v>
      </c>
      <c r="K361">
        <v>1</v>
      </c>
    </row>
    <row r="362" hidden="1" spans="1:11">
      <c r="A362">
        <v>361</v>
      </c>
      <c r="B362">
        <v>26</v>
      </c>
      <c r="C362" t="s">
        <v>11</v>
      </c>
      <c r="D362" t="s">
        <v>12</v>
      </c>
      <c r="E362" t="s">
        <v>13</v>
      </c>
      <c r="F362" s="38">
        <v>1923</v>
      </c>
      <c r="G362" t="s">
        <v>20</v>
      </c>
      <c r="H362" t="s">
        <v>15</v>
      </c>
      <c r="I362" s="38">
        <v>3848.9</v>
      </c>
      <c r="J362">
        <v>12</v>
      </c>
      <c r="K362">
        <v>1</v>
      </c>
    </row>
    <row r="363" hidden="1" spans="1:11">
      <c r="A363">
        <v>362</v>
      </c>
      <c r="B363">
        <v>40</v>
      </c>
      <c r="C363" t="s">
        <v>16</v>
      </c>
      <c r="D363" t="s">
        <v>12</v>
      </c>
      <c r="E363" t="s">
        <v>23</v>
      </c>
      <c r="F363" s="38">
        <v>4873</v>
      </c>
      <c r="G363" t="s">
        <v>20</v>
      </c>
      <c r="H363" t="s">
        <v>21</v>
      </c>
      <c r="I363" s="38">
        <v>761.4</v>
      </c>
      <c r="J363">
        <v>7</v>
      </c>
      <c r="K363">
        <v>0</v>
      </c>
    </row>
    <row r="364" hidden="1" spans="1:11">
      <c r="A364">
        <v>363</v>
      </c>
      <c r="B364">
        <v>51</v>
      </c>
      <c r="C364" t="s">
        <v>16</v>
      </c>
      <c r="D364" t="s">
        <v>17</v>
      </c>
      <c r="E364" t="s">
        <v>13</v>
      </c>
      <c r="F364" s="38">
        <v>5750</v>
      </c>
      <c r="G364" t="s">
        <v>20</v>
      </c>
      <c r="H364" t="s">
        <v>21</v>
      </c>
      <c r="I364" s="38">
        <v>2228.4</v>
      </c>
      <c r="J364">
        <v>21</v>
      </c>
      <c r="K364">
        <v>0</v>
      </c>
    </row>
    <row r="365" hidden="1" spans="1:11">
      <c r="A365">
        <v>364</v>
      </c>
      <c r="B365">
        <v>26</v>
      </c>
      <c r="C365" t="s">
        <v>16</v>
      </c>
      <c r="D365" t="s">
        <v>24</v>
      </c>
      <c r="E365" t="s">
        <v>13</v>
      </c>
      <c r="F365" s="38">
        <v>5945</v>
      </c>
      <c r="G365" t="s">
        <v>14</v>
      </c>
      <c r="H365" t="s">
        <v>15</v>
      </c>
      <c r="I365" s="38">
        <v>1572.3</v>
      </c>
      <c r="J365">
        <v>24</v>
      </c>
      <c r="K365">
        <v>0</v>
      </c>
    </row>
    <row r="366" hidden="1" spans="1:11">
      <c r="A366">
        <v>365</v>
      </c>
      <c r="B366">
        <v>72</v>
      </c>
      <c r="C366" t="s">
        <v>11</v>
      </c>
      <c r="D366" t="s">
        <v>12</v>
      </c>
      <c r="E366" t="s">
        <v>13</v>
      </c>
      <c r="F366" s="38">
        <v>2663</v>
      </c>
      <c r="G366" t="s">
        <v>20</v>
      </c>
      <c r="H366" t="s">
        <v>21</v>
      </c>
      <c r="I366" s="38">
        <v>2536.2</v>
      </c>
      <c r="J366">
        <v>13</v>
      </c>
      <c r="K366">
        <v>0</v>
      </c>
    </row>
    <row r="367" hidden="1" spans="1:11">
      <c r="A367">
        <v>366</v>
      </c>
      <c r="B367">
        <v>29</v>
      </c>
      <c r="C367" t="s">
        <v>16</v>
      </c>
      <c r="D367" t="s">
        <v>12</v>
      </c>
      <c r="E367" t="s">
        <v>13</v>
      </c>
      <c r="F367" s="38">
        <v>4742</v>
      </c>
      <c r="G367" t="s">
        <v>14</v>
      </c>
      <c r="H367" t="s">
        <v>21</v>
      </c>
      <c r="I367" s="38">
        <v>968.4</v>
      </c>
      <c r="J367">
        <v>12</v>
      </c>
      <c r="K367">
        <v>0</v>
      </c>
    </row>
    <row r="368" hidden="1" spans="1:11">
      <c r="A368">
        <v>367</v>
      </c>
      <c r="B368">
        <v>30</v>
      </c>
      <c r="C368" t="s">
        <v>16</v>
      </c>
      <c r="D368" t="s">
        <v>12</v>
      </c>
      <c r="E368" t="s">
        <v>22</v>
      </c>
      <c r="F368" s="38">
        <v>3131</v>
      </c>
      <c r="G368" t="s">
        <v>20</v>
      </c>
      <c r="H368" t="s">
        <v>15</v>
      </c>
      <c r="I368" s="38">
        <v>1045</v>
      </c>
      <c r="J368">
        <v>15</v>
      </c>
      <c r="K368">
        <v>1</v>
      </c>
    </row>
    <row r="369" hidden="1" spans="1:11">
      <c r="A369">
        <v>368</v>
      </c>
      <c r="B369">
        <v>26</v>
      </c>
      <c r="C369" t="s">
        <v>16</v>
      </c>
      <c r="D369" t="s">
        <v>12</v>
      </c>
      <c r="E369" t="s">
        <v>13</v>
      </c>
      <c r="F369" s="38">
        <v>4075</v>
      </c>
      <c r="G369" t="s">
        <v>18</v>
      </c>
      <c r="H369" t="s">
        <v>25</v>
      </c>
      <c r="I369" s="38">
        <v>1580.7</v>
      </c>
      <c r="J369">
        <v>9</v>
      </c>
      <c r="K369">
        <v>1</v>
      </c>
    </row>
    <row r="370" hidden="1" spans="1:11">
      <c r="A370">
        <v>369</v>
      </c>
      <c r="B370">
        <v>59</v>
      </c>
      <c r="C370" t="s">
        <v>11</v>
      </c>
      <c r="D370" t="s">
        <v>17</v>
      </c>
      <c r="E370" t="s">
        <v>22</v>
      </c>
      <c r="F370" s="38">
        <v>3398</v>
      </c>
      <c r="G370" t="s">
        <v>14</v>
      </c>
      <c r="H370" t="s">
        <v>21</v>
      </c>
      <c r="I370" s="38">
        <v>3211.2</v>
      </c>
      <c r="J370">
        <v>15</v>
      </c>
      <c r="K370">
        <v>0</v>
      </c>
    </row>
    <row r="371" hidden="1" spans="1:11">
      <c r="A371">
        <v>370</v>
      </c>
      <c r="B371">
        <v>26</v>
      </c>
      <c r="C371" t="s">
        <v>11</v>
      </c>
      <c r="D371" t="s">
        <v>17</v>
      </c>
      <c r="E371" t="s">
        <v>22</v>
      </c>
      <c r="F371" s="38">
        <v>1631</v>
      </c>
      <c r="G371" t="s">
        <v>14</v>
      </c>
      <c r="H371" t="s">
        <v>15</v>
      </c>
      <c r="I371" s="38">
        <v>1824.9</v>
      </c>
      <c r="J371">
        <v>24</v>
      </c>
      <c r="K371">
        <v>1</v>
      </c>
    </row>
    <row r="372" hidden="1" spans="1:11">
      <c r="A372">
        <v>371</v>
      </c>
      <c r="B372">
        <v>25</v>
      </c>
      <c r="C372" t="s">
        <v>11</v>
      </c>
      <c r="D372" t="s">
        <v>12</v>
      </c>
      <c r="E372" t="s">
        <v>22</v>
      </c>
      <c r="F372" s="38">
        <v>5393</v>
      </c>
      <c r="G372" t="s">
        <v>14</v>
      </c>
      <c r="H372" t="s">
        <v>15</v>
      </c>
      <c r="I372" s="38">
        <v>2259.9</v>
      </c>
      <c r="J372">
        <v>15</v>
      </c>
      <c r="K372">
        <v>0</v>
      </c>
    </row>
    <row r="373" hidden="1" spans="1:11">
      <c r="A373">
        <v>372</v>
      </c>
      <c r="B373">
        <v>56</v>
      </c>
      <c r="C373" t="s">
        <v>16</v>
      </c>
      <c r="D373" t="s">
        <v>24</v>
      </c>
      <c r="E373" t="s">
        <v>13</v>
      </c>
      <c r="F373" s="38">
        <v>5183</v>
      </c>
      <c r="G373" t="s">
        <v>20</v>
      </c>
      <c r="H373" t="s">
        <v>19</v>
      </c>
      <c r="I373" s="38">
        <v>6580.8</v>
      </c>
      <c r="J373">
        <v>30</v>
      </c>
      <c r="K373">
        <v>0</v>
      </c>
    </row>
    <row r="374" hidden="1" spans="1:11">
      <c r="A374">
        <v>373</v>
      </c>
      <c r="B374">
        <v>33</v>
      </c>
      <c r="C374" t="s">
        <v>11</v>
      </c>
      <c r="D374" t="s">
        <v>17</v>
      </c>
      <c r="E374" t="s">
        <v>13</v>
      </c>
      <c r="F374" s="38">
        <v>1468</v>
      </c>
      <c r="G374" t="s">
        <v>18</v>
      </c>
      <c r="H374" t="s">
        <v>19</v>
      </c>
      <c r="I374" s="38">
        <v>3302.2</v>
      </c>
      <c r="J374">
        <v>9</v>
      </c>
      <c r="K374">
        <v>1</v>
      </c>
    </row>
    <row r="375" hidden="1" spans="1:11">
      <c r="A375">
        <v>374</v>
      </c>
      <c r="B375">
        <v>32</v>
      </c>
      <c r="C375" t="s">
        <v>16</v>
      </c>
      <c r="D375" t="s">
        <v>12</v>
      </c>
      <c r="E375" t="s">
        <v>13</v>
      </c>
      <c r="F375" s="38">
        <v>5404</v>
      </c>
      <c r="G375" t="s">
        <v>14</v>
      </c>
      <c r="H375" t="s">
        <v>25</v>
      </c>
      <c r="I375" s="38">
        <v>992.7</v>
      </c>
      <c r="J375">
        <v>12</v>
      </c>
      <c r="K375">
        <v>0</v>
      </c>
    </row>
    <row r="376" hidden="1" spans="1:11">
      <c r="A376">
        <v>375</v>
      </c>
      <c r="B376">
        <v>30</v>
      </c>
      <c r="C376" t="s">
        <v>16</v>
      </c>
      <c r="D376" t="s">
        <v>12</v>
      </c>
      <c r="E376" t="s">
        <v>13</v>
      </c>
      <c r="F376" s="38">
        <v>2513</v>
      </c>
      <c r="G376" t="s">
        <v>14</v>
      </c>
      <c r="H376" t="s">
        <v>21</v>
      </c>
      <c r="I376" s="38">
        <v>3465</v>
      </c>
      <c r="J376">
        <v>18</v>
      </c>
      <c r="K376">
        <v>0</v>
      </c>
    </row>
    <row r="377" hidden="1" spans="1:11">
      <c r="A377">
        <v>376</v>
      </c>
      <c r="B377">
        <v>32</v>
      </c>
      <c r="C377" t="s">
        <v>11</v>
      </c>
      <c r="D377" t="s">
        <v>12</v>
      </c>
      <c r="E377" t="s">
        <v>13</v>
      </c>
      <c r="F377" s="38">
        <v>2282</v>
      </c>
      <c r="G377" t="s">
        <v>14</v>
      </c>
      <c r="H377" t="s">
        <v>15</v>
      </c>
      <c r="I377" s="38">
        <v>2488.2</v>
      </c>
      <c r="J377">
        <v>18</v>
      </c>
      <c r="K377">
        <v>1</v>
      </c>
    </row>
    <row r="378" hidden="1" spans="1:11">
      <c r="A378">
        <v>377</v>
      </c>
      <c r="B378">
        <v>48</v>
      </c>
      <c r="C378" t="s">
        <v>16</v>
      </c>
      <c r="D378" t="s">
        <v>24</v>
      </c>
      <c r="E378" t="s">
        <v>13</v>
      </c>
      <c r="F378" s="38">
        <v>5315</v>
      </c>
      <c r="G378" t="s">
        <v>14</v>
      </c>
      <c r="H378" t="s">
        <v>21</v>
      </c>
      <c r="I378" s="38">
        <v>13307.4</v>
      </c>
      <c r="J378">
        <v>24</v>
      </c>
      <c r="K378">
        <v>0</v>
      </c>
    </row>
    <row r="379" hidden="1" spans="1:11">
      <c r="A379">
        <v>378</v>
      </c>
      <c r="B379">
        <v>40</v>
      </c>
      <c r="C379" t="s">
        <v>11</v>
      </c>
      <c r="D379" t="s">
        <v>12</v>
      </c>
      <c r="E379" t="s">
        <v>13</v>
      </c>
      <c r="F379" s="38">
        <v>3440</v>
      </c>
      <c r="G379" t="s">
        <v>18</v>
      </c>
      <c r="H379" t="s">
        <v>15</v>
      </c>
      <c r="I379" s="38">
        <v>6537.3</v>
      </c>
      <c r="J379">
        <v>24</v>
      </c>
      <c r="K379">
        <v>1</v>
      </c>
    </row>
    <row r="380" hidden="1" spans="1:11">
      <c r="A380">
        <v>379</v>
      </c>
      <c r="B380">
        <v>44</v>
      </c>
      <c r="C380" t="s">
        <v>16</v>
      </c>
      <c r="D380" t="s">
        <v>12</v>
      </c>
      <c r="E380" t="s">
        <v>13</v>
      </c>
      <c r="F380" s="38">
        <v>4332</v>
      </c>
      <c r="G380" t="s">
        <v>26</v>
      </c>
      <c r="H380" t="s">
        <v>21</v>
      </c>
      <c r="I380" s="38">
        <v>2407.5</v>
      </c>
      <c r="J380">
        <v>22</v>
      </c>
      <c r="K380">
        <v>0</v>
      </c>
    </row>
    <row r="381" hidden="1" spans="1:11">
      <c r="A381">
        <v>380</v>
      </c>
      <c r="B381">
        <v>18</v>
      </c>
      <c r="C381" t="s">
        <v>16</v>
      </c>
      <c r="D381" t="s">
        <v>17</v>
      </c>
      <c r="E381" t="s">
        <v>13</v>
      </c>
      <c r="F381" s="38">
        <v>3535</v>
      </c>
      <c r="G381" t="s">
        <v>20</v>
      </c>
      <c r="H381" t="s">
        <v>15</v>
      </c>
      <c r="I381" s="38">
        <v>3295.6</v>
      </c>
      <c r="J381">
        <v>24</v>
      </c>
      <c r="K381">
        <v>1</v>
      </c>
    </row>
    <row r="382" hidden="1" spans="1:11">
      <c r="A382">
        <v>381</v>
      </c>
      <c r="B382">
        <v>59</v>
      </c>
      <c r="C382" t="s">
        <v>16</v>
      </c>
      <c r="D382" t="s">
        <v>12</v>
      </c>
      <c r="E382" t="s">
        <v>23</v>
      </c>
      <c r="F382" s="38">
        <v>3160</v>
      </c>
      <c r="G382" t="s">
        <v>14</v>
      </c>
      <c r="H382" t="s">
        <v>15</v>
      </c>
      <c r="I382" s="38">
        <v>2860</v>
      </c>
      <c r="J382">
        <v>18</v>
      </c>
      <c r="K382">
        <v>1</v>
      </c>
    </row>
    <row r="383" hidden="1" spans="1:11">
      <c r="A383">
        <v>382</v>
      </c>
      <c r="B383">
        <v>48</v>
      </c>
      <c r="C383" t="s">
        <v>16</v>
      </c>
      <c r="D383" t="s">
        <v>17</v>
      </c>
      <c r="E383" t="s">
        <v>23</v>
      </c>
      <c r="F383" s="38">
        <v>3416</v>
      </c>
      <c r="G383" t="s">
        <v>14</v>
      </c>
      <c r="H383" t="s">
        <v>15</v>
      </c>
      <c r="I383" s="38">
        <v>8651.5</v>
      </c>
      <c r="J383">
        <v>12</v>
      </c>
      <c r="K383">
        <v>1</v>
      </c>
    </row>
    <row r="384" hidden="1" spans="1:11">
      <c r="A384">
        <v>383</v>
      </c>
      <c r="B384">
        <v>26</v>
      </c>
      <c r="C384" t="s">
        <v>11</v>
      </c>
      <c r="D384" t="s">
        <v>12</v>
      </c>
      <c r="E384" t="s">
        <v>23</v>
      </c>
      <c r="F384" s="38">
        <v>1846</v>
      </c>
      <c r="G384" t="s">
        <v>14</v>
      </c>
      <c r="H384" t="s">
        <v>25</v>
      </c>
      <c r="I384" s="38">
        <v>5168.7</v>
      </c>
      <c r="J384">
        <v>24</v>
      </c>
      <c r="K384">
        <v>0</v>
      </c>
    </row>
    <row r="385" hidden="1" spans="1:11">
      <c r="A385">
        <v>384</v>
      </c>
      <c r="B385">
        <v>34</v>
      </c>
      <c r="C385" t="s">
        <v>16</v>
      </c>
      <c r="D385" t="s">
        <v>24</v>
      </c>
      <c r="E385" t="s">
        <v>13</v>
      </c>
      <c r="F385" s="38">
        <v>4943</v>
      </c>
      <c r="G385" t="s">
        <v>14</v>
      </c>
      <c r="H385" t="s">
        <v>21</v>
      </c>
      <c r="I385" s="38">
        <v>1391.4</v>
      </c>
      <c r="J385">
        <v>10</v>
      </c>
      <c r="K385">
        <v>0</v>
      </c>
    </row>
    <row r="386" hidden="1" spans="1:11">
      <c r="A386">
        <v>385</v>
      </c>
      <c r="B386">
        <v>48</v>
      </c>
      <c r="C386" t="s">
        <v>11</v>
      </c>
      <c r="D386" t="s">
        <v>24</v>
      </c>
      <c r="E386" t="s">
        <v>13</v>
      </c>
      <c r="F386" s="38">
        <v>4745</v>
      </c>
      <c r="G386" t="s">
        <v>14</v>
      </c>
      <c r="H386" t="s">
        <v>25</v>
      </c>
      <c r="I386" s="38">
        <v>684</v>
      </c>
      <c r="J386">
        <v>8</v>
      </c>
      <c r="K386">
        <v>0</v>
      </c>
    </row>
    <row r="387" hidden="1" spans="1:11">
      <c r="A387">
        <v>386</v>
      </c>
      <c r="B387">
        <v>33</v>
      </c>
      <c r="C387" t="s">
        <v>16</v>
      </c>
      <c r="D387" t="s">
        <v>17</v>
      </c>
      <c r="E387" t="s">
        <v>13</v>
      </c>
      <c r="F387" s="38">
        <v>5007</v>
      </c>
      <c r="G387" t="s">
        <v>20</v>
      </c>
      <c r="H387" t="s">
        <v>15</v>
      </c>
      <c r="I387" s="38">
        <v>2024.1</v>
      </c>
      <c r="J387">
        <v>18</v>
      </c>
      <c r="K387">
        <v>0</v>
      </c>
    </row>
    <row r="388" hidden="1" spans="1:11">
      <c r="A388">
        <v>387</v>
      </c>
      <c r="B388">
        <v>18</v>
      </c>
      <c r="C388" t="s">
        <v>16</v>
      </c>
      <c r="D388" t="s">
        <v>12</v>
      </c>
      <c r="E388" t="s">
        <v>13</v>
      </c>
      <c r="F388" s="38">
        <v>2730</v>
      </c>
      <c r="G388" t="s">
        <v>18</v>
      </c>
      <c r="H388" t="s">
        <v>15</v>
      </c>
      <c r="I388" s="38">
        <v>741.4</v>
      </c>
      <c r="J388">
        <v>12</v>
      </c>
      <c r="K388">
        <v>1</v>
      </c>
    </row>
    <row r="389" hidden="1" spans="1:11">
      <c r="A389">
        <v>388</v>
      </c>
      <c r="B389">
        <v>27</v>
      </c>
      <c r="C389" t="s">
        <v>11</v>
      </c>
      <c r="D389" t="s">
        <v>12</v>
      </c>
      <c r="E389" t="s">
        <v>13</v>
      </c>
      <c r="F389" s="38">
        <v>1731</v>
      </c>
      <c r="G389" t="s">
        <v>14</v>
      </c>
      <c r="H389" t="s">
        <v>25</v>
      </c>
      <c r="I389" s="38">
        <v>1009.8</v>
      </c>
      <c r="J389">
        <v>9</v>
      </c>
      <c r="K389">
        <v>1</v>
      </c>
    </row>
    <row r="390" hidden="1" spans="1:11">
      <c r="A390">
        <v>389</v>
      </c>
      <c r="B390">
        <v>56</v>
      </c>
      <c r="C390" t="s">
        <v>16</v>
      </c>
      <c r="D390" t="s">
        <v>12</v>
      </c>
      <c r="E390" t="s">
        <v>13</v>
      </c>
      <c r="F390" s="38">
        <v>2877</v>
      </c>
      <c r="G390" t="s">
        <v>20</v>
      </c>
      <c r="H390" t="s">
        <v>21</v>
      </c>
      <c r="I390" s="38">
        <v>4302</v>
      </c>
      <c r="J390">
        <v>12</v>
      </c>
      <c r="K390">
        <v>0</v>
      </c>
    </row>
    <row r="391" hidden="1" spans="1:11">
      <c r="A391">
        <v>390</v>
      </c>
      <c r="B391">
        <v>53</v>
      </c>
      <c r="C391" t="s">
        <v>16</v>
      </c>
      <c r="D391" t="s">
        <v>17</v>
      </c>
      <c r="E391" t="s">
        <v>13</v>
      </c>
      <c r="F391" s="38">
        <v>5513</v>
      </c>
      <c r="G391" t="s">
        <v>20</v>
      </c>
      <c r="H391" t="s">
        <v>21</v>
      </c>
      <c r="I391" s="38">
        <v>12315.6</v>
      </c>
      <c r="J391">
        <v>24</v>
      </c>
      <c r="K391">
        <v>0</v>
      </c>
    </row>
    <row r="392" hidden="1" spans="1:11">
      <c r="A392">
        <v>391</v>
      </c>
      <c r="B392">
        <v>30</v>
      </c>
      <c r="C392" t="s">
        <v>11</v>
      </c>
      <c r="D392" t="s">
        <v>12</v>
      </c>
      <c r="E392" t="s">
        <v>13</v>
      </c>
      <c r="F392" s="38">
        <v>5475</v>
      </c>
      <c r="G392" t="s">
        <v>14</v>
      </c>
      <c r="H392" t="s">
        <v>25</v>
      </c>
      <c r="I392" s="38">
        <v>1165.5</v>
      </c>
      <c r="J392">
        <v>18</v>
      </c>
      <c r="K392">
        <v>0</v>
      </c>
    </row>
    <row r="393" spans="1:11">
      <c r="A393">
        <v>392</v>
      </c>
      <c r="B393">
        <v>29</v>
      </c>
      <c r="C393" t="s">
        <v>16</v>
      </c>
      <c r="D393" t="s">
        <v>24</v>
      </c>
      <c r="E393" t="s">
        <v>13</v>
      </c>
      <c r="F393" s="38">
        <v>6226</v>
      </c>
      <c r="G393" t="s">
        <v>14</v>
      </c>
      <c r="H393" t="s">
        <v>25</v>
      </c>
      <c r="I393" s="38">
        <v>562.5</v>
      </c>
      <c r="J393">
        <v>12</v>
      </c>
      <c r="K393">
        <v>0</v>
      </c>
    </row>
    <row r="394" hidden="1" spans="1:11">
      <c r="A394">
        <v>393</v>
      </c>
      <c r="B394">
        <v>45</v>
      </c>
      <c r="C394" t="s">
        <v>16</v>
      </c>
      <c r="D394" t="s">
        <v>12</v>
      </c>
      <c r="E394" t="s">
        <v>13</v>
      </c>
      <c r="F394" s="38">
        <v>4257</v>
      </c>
      <c r="G394" t="s">
        <v>14</v>
      </c>
      <c r="H394" t="s">
        <v>19</v>
      </c>
      <c r="I394" s="38">
        <v>1904.4</v>
      </c>
      <c r="J394">
        <v>6</v>
      </c>
      <c r="K394">
        <v>0</v>
      </c>
    </row>
    <row r="395" hidden="1" spans="1:11">
      <c r="A395">
        <v>394</v>
      </c>
      <c r="B395">
        <v>25</v>
      </c>
      <c r="C395" t="s">
        <v>16</v>
      </c>
      <c r="D395" t="s">
        <v>12</v>
      </c>
      <c r="E395" t="s">
        <v>13</v>
      </c>
      <c r="F395" s="38">
        <v>3141</v>
      </c>
      <c r="G395" t="s">
        <v>18</v>
      </c>
      <c r="H395" t="s">
        <v>21</v>
      </c>
      <c r="I395" s="38">
        <v>10529.2</v>
      </c>
      <c r="J395">
        <v>36</v>
      </c>
      <c r="K395">
        <v>1</v>
      </c>
    </row>
    <row r="396" hidden="1" spans="1:11">
      <c r="A396">
        <v>395</v>
      </c>
      <c r="B396">
        <v>23</v>
      </c>
      <c r="C396" t="s">
        <v>16</v>
      </c>
      <c r="D396" t="s">
        <v>12</v>
      </c>
      <c r="E396" t="s">
        <v>22</v>
      </c>
      <c r="F396" s="38">
        <v>5463</v>
      </c>
      <c r="G396" t="s">
        <v>14</v>
      </c>
      <c r="H396" t="s">
        <v>21</v>
      </c>
      <c r="I396" s="38">
        <v>1589.4</v>
      </c>
      <c r="J396">
        <v>6</v>
      </c>
      <c r="K396">
        <v>0</v>
      </c>
    </row>
    <row r="397" hidden="1" spans="1:11">
      <c r="A397">
        <v>396</v>
      </c>
      <c r="B397">
        <v>40</v>
      </c>
      <c r="C397" t="s">
        <v>11</v>
      </c>
      <c r="D397" t="s">
        <v>17</v>
      </c>
      <c r="E397" t="s">
        <v>23</v>
      </c>
      <c r="F397" s="38">
        <v>2653</v>
      </c>
      <c r="G397" t="s">
        <v>14</v>
      </c>
      <c r="H397" t="s">
        <v>21</v>
      </c>
      <c r="I397" s="38">
        <v>13836.9</v>
      </c>
      <c r="J397">
        <v>24</v>
      </c>
      <c r="K397">
        <v>1</v>
      </c>
    </row>
    <row r="398" spans="1:11">
      <c r="A398">
        <v>397</v>
      </c>
      <c r="B398">
        <v>61</v>
      </c>
      <c r="C398" t="s">
        <v>11</v>
      </c>
      <c r="D398" t="s">
        <v>17</v>
      </c>
      <c r="E398" t="s">
        <v>23</v>
      </c>
      <c r="F398" s="38">
        <v>6627</v>
      </c>
      <c r="G398" t="s">
        <v>14</v>
      </c>
      <c r="H398" t="s">
        <v>15</v>
      </c>
      <c r="I398" s="38">
        <v>2320.2</v>
      </c>
      <c r="J398">
        <v>12</v>
      </c>
      <c r="K398">
        <v>0</v>
      </c>
    </row>
    <row r="399" hidden="1" spans="1:11">
      <c r="A399">
        <v>398</v>
      </c>
      <c r="B399">
        <v>28</v>
      </c>
      <c r="C399" t="s">
        <v>16</v>
      </c>
      <c r="D399" t="s">
        <v>12</v>
      </c>
      <c r="E399" t="s">
        <v>13</v>
      </c>
      <c r="F399" s="38">
        <v>3327</v>
      </c>
      <c r="G399" t="s">
        <v>20</v>
      </c>
      <c r="H399" t="s">
        <v>15</v>
      </c>
      <c r="I399" s="38">
        <v>3020.6</v>
      </c>
      <c r="J399">
        <v>36</v>
      </c>
      <c r="K399">
        <v>1</v>
      </c>
    </row>
    <row r="400" hidden="1" spans="1:11">
      <c r="A400">
        <v>399</v>
      </c>
      <c r="B400">
        <v>24</v>
      </c>
      <c r="C400" t="s">
        <v>16</v>
      </c>
      <c r="D400" t="s">
        <v>17</v>
      </c>
      <c r="E400" t="s">
        <v>13</v>
      </c>
      <c r="F400" s="38">
        <v>3231</v>
      </c>
      <c r="G400" t="s">
        <v>20</v>
      </c>
      <c r="H400" t="s">
        <v>21</v>
      </c>
      <c r="I400" s="38">
        <v>9512.8</v>
      </c>
      <c r="J400">
        <v>24</v>
      </c>
      <c r="K400">
        <v>1</v>
      </c>
    </row>
    <row r="401" hidden="1" spans="1:11">
      <c r="A401">
        <v>400</v>
      </c>
      <c r="B401">
        <v>39</v>
      </c>
      <c r="C401" t="s">
        <v>16</v>
      </c>
      <c r="D401" t="s">
        <v>12</v>
      </c>
      <c r="E401" t="s">
        <v>22</v>
      </c>
      <c r="F401" s="38">
        <v>2304</v>
      </c>
      <c r="G401" t="s">
        <v>14</v>
      </c>
      <c r="H401" t="s">
        <v>15</v>
      </c>
      <c r="I401" s="38">
        <v>2887.5</v>
      </c>
      <c r="J401">
        <v>16</v>
      </c>
      <c r="K401">
        <v>1</v>
      </c>
    </row>
    <row r="402" hidden="1" spans="1:11">
      <c r="A402">
        <v>401</v>
      </c>
      <c r="B402">
        <v>29</v>
      </c>
      <c r="C402" t="s">
        <v>11</v>
      </c>
      <c r="D402" t="s">
        <v>12</v>
      </c>
      <c r="E402" t="s">
        <v>13</v>
      </c>
      <c r="F402" s="38">
        <v>2914</v>
      </c>
      <c r="G402" t="s">
        <v>20</v>
      </c>
      <c r="H402" t="s">
        <v>19</v>
      </c>
      <c r="I402" s="38">
        <v>1543.5</v>
      </c>
      <c r="J402">
        <v>30</v>
      </c>
      <c r="K402">
        <v>0</v>
      </c>
    </row>
    <row r="403" hidden="1" spans="1:11">
      <c r="A403">
        <v>402</v>
      </c>
      <c r="B403">
        <v>69</v>
      </c>
      <c r="C403" t="s">
        <v>16</v>
      </c>
      <c r="D403" t="s">
        <v>12</v>
      </c>
      <c r="E403" t="s">
        <v>13</v>
      </c>
      <c r="F403" s="38">
        <v>5205</v>
      </c>
      <c r="G403" t="s">
        <v>14</v>
      </c>
      <c r="H403" t="s">
        <v>15</v>
      </c>
      <c r="I403" s="38">
        <v>2661.3</v>
      </c>
      <c r="J403">
        <v>24</v>
      </c>
      <c r="K403">
        <v>0</v>
      </c>
    </row>
    <row r="404" hidden="1" spans="1:11">
      <c r="A404">
        <v>403</v>
      </c>
      <c r="B404">
        <v>22</v>
      </c>
      <c r="C404" t="s">
        <v>11</v>
      </c>
      <c r="D404" t="s">
        <v>24</v>
      </c>
      <c r="E404" t="s">
        <v>22</v>
      </c>
      <c r="F404" s="38">
        <v>2172</v>
      </c>
      <c r="G404" t="s">
        <v>18</v>
      </c>
      <c r="H404" t="s">
        <v>21</v>
      </c>
      <c r="I404" s="38">
        <v>12749</v>
      </c>
      <c r="J404">
        <v>48</v>
      </c>
      <c r="K404">
        <v>1</v>
      </c>
    </row>
    <row r="405" hidden="1" spans="1:11">
      <c r="A405">
        <v>404</v>
      </c>
      <c r="B405">
        <v>36</v>
      </c>
      <c r="C405" t="s">
        <v>16</v>
      </c>
      <c r="D405" t="s">
        <v>12</v>
      </c>
      <c r="E405" t="s">
        <v>13</v>
      </c>
      <c r="F405" s="38">
        <v>1815</v>
      </c>
      <c r="G405" t="s">
        <v>14</v>
      </c>
      <c r="H405" t="s">
        <v>21</v>
      </c>
      <c r="I405" s="38">
        <v>4635</v>
      </c>
      <c r="J405">
        <v>24</v>
      </c>
      <c r="K405">
        <v>0</v>
      </c>
    </row>
    <row r="406" hidden="1" spans="1:11">
      <c r="A406">
        <v>405</v>
      </c>
      <c r="B406">
        <v>24</v>
      </c>
      <c r="C406" t="s">
        <v>16</v>
      </c>
      <c r="D406" t="s">
        <v>12</v>
      </c>
      <c r="E406" t="s">
        <v>13</v>
      </c>
      <c r="F406" s="38">
        <v>2073</v>
      </c>
      <c r="G406" t="s">
        <v>26</v>
      </c>
      <c r="H406" t="s">
        <v>25</v>
      </c>
      <c r="I406" s="38">
        <v>906.3</v>
      </c>
      <c r="J406">
        <v>12</v>
      </c>
      <c r="K406">
        <v>0</v>
      </c>
    </row>
    <row r="407" hidden="1" spans="1:11">
      <c r="A407">
        <v>406</v>
      </c>
      <c r="B407">
        <v>46</v>
      </c>
      <c r="C407" t="s">
        <v>16</v>
      </c>
      <c r="D407" t="s">
        <v>12</v>
      </c>
      <c r="E407" t="s">
        <v>13</v>
      </c>
      <c r="F407" s="38">
        <v>3383</v>
      </c>
      <c r="G407" t="s">
        <v>26</v>
      </c>
      <c r="H407" t="s">
        <v>21</v>
      </c>
      <c r="I407" s="38">
        <v>469.8</v>
      </c>
      <c r="J407">
        <v>12</v>
      </c>
      <c r="K407">
        <v>0</v>
      </c>
    </row>
    <row r="408" hidden="1" spans="1:11">
      <c r="A408">
        <v>407</v>
      </c>
      <c r="B408">
        <v>36</v>
      </c>
      <c r="C408" t="s">
        <v>16</v>
      </c>
      <c r="D408" t="s">
        <v>17</v>
      </c>
      <c r="E408" t="s">
        <v>13</v>
      </c>
      <c r="F408" s="38">
        <v>3456</v>
      </c>
      <c r="G408" t="s">
        <v>18</v>
      </c>
      <c r="H408" t="s">
        <v>21</v>
      </c>
      <c r="I408" s="38">
        <v>5085.3</v>
      </c>
      <c r="J408">
        <v>15</v>
      </c>
      <c r="K408">
        <v>1</v>
      </c>
    </row>
    <row r="409" hidden="1" spans="1:11">
      <c r="A409">
        <v>408</v>
      </c>
      <c r="B409">
        <v>64</v>
      </c>
      <c r="C409" t="s">
        <v>11</v>
      </c>
      <c r="D409" t="s">
        <v>24</v>
      </c>
      <c r="E409" t="s">
        <v>13</v>
      </c>
      <c r="F409" s="38">
        <v>2693</v>
      </c>
      <c r="G409" t="s">
        <v>14</v>
      </c>
      <c r="H409" t="s">
        <v>15</v>
      </c>
      <c r="I409" s="38">
        <v>346.5</v>
      </c>
      <c r="J409">
        <v>12</v>
      </c>
      <c r="K409">
        <v>0</v>
      </c>
    </row>
    <row r="410" hidden="1" spans="1:11">
      <c r="A410">
        <v>409</v>
      </c>
      <c r="B410">
        <v>42</v>
      </c>
      <c r="C410" t="s">
        <v>16</v>
      </c>
      <c r="D410" t="s">
        <v>12</v>
      </c>
      <c r="E410" t="s">
        <v>13</v>
      </c>
      <c r="F410" s="38">
        <v>2181</v>
      </c>
      <c r="G410" t="s">
        <v>20</v>
      </c>
      <c r="H410" t="s">
        <v>21</v>
      </c>
      <c r="I410" s="38">
        <v>2475.9</v>
      </c>
      <c r="J410">
        <v>48</v>
      </c>
      <c r="K410">
        <v>0</v>
      </c>
    </row>
    <row r="411" hidden="1" spans="1:11">
      <c r="A411">
        <v>410</v>
      </c>
      <c r="B411">
        <v>35</v>
      </c>
      <c r="C411" t="s">
        <v>16</v>
      </c>
      <c r="D411" t="s">
        <v>12</v>
      </c>
      <c r="E411" t="s">
        <v>13</v>
      </c>
      <c r="F411" s="38">
        <v>4199</v>
      </c>
      <c r="G411" t="s">
        <v>14</v>
      </c>
      <c r="H411" t="s">
        <v>25</v>
      </c>
      <c r="I411" s="38">
        <v>5470.2</v>
      </c>
      <c r="J411">
        <v>12</v>
      </c>
      <c r="K411">
        <v>0</v>
      </c>
    </row>
    <row r="412" hidden="1" spans="1:11">
      <c r="A412">
        <v>411</v>
      </c>
      <c r="B412">
        <v>50</v>
      </c>
      <c r="C412" t="s">
        <v>16</v>
      </c>
      <c r="D412" t="s">
        <v>24</v>
      </c>
      <c r="E412" t="s">
        <v>13</v>
      </c>
      <c r="F412" s="38">
        <v>4258</v>
      </c>
      <c r="G412" t="s">
        <v>26</v>
      </c>
      <c r="H412" t="s">
        <v>21</v>
      </c>
      <c r="I412" s="38">
        <v>1575</v>
      </c>
      <c r="J412">
        <v>6</v>
      </c>
      <c r="K412">
        <v>0</v>
      </c>
    </row>
    <row r="413" hidden="1" spans="1:11">
      <c r="A413">
        <v>412</v>
      </c>
      <c r="B413">
        <v>21</v>
      </c>
      <c r="C413" t="s">
        <v>11</v>
      </c>
      <c r="D413" t="s">
        <v>12</v>
      </c>
      <c r="E413" t="s">
        <v>13</v>
      </c>
      <c r="F413" s="38">
        <v>1736</v>
      </c>
      <c r="G413" t="s">
        <v>14</v>
      </c>
      <c r="H413" t="s">
        <v>15</v>
      </c>
      <c r="I413" s="38">
        <v>492.8</v>
      </c>
      <c r="J413">
        <v>6</v>
      </c>
      <c r="K413">
        <v>1</v>
      </c>
    </row>
    <row r="414" hidden="1" spans="1:11">
      <c r="A414">
        <v>413</v>
      </c>
      <c r="B414">
        <v>33</v>
      </c>
      <c r="C414" t="s">
        <v>16</v>
      </c>
      <c r="D414" t="s">
        <v>12</v>
      </c>
      <c r="E414" t="s">
        <v>13</v>
      </c>
      <c r="F414" s="38">
        <v>3460</v>
      </c>
      <c r="G414" t="s">
        <v>18</v>
      </c>
      <c r="H414" t="s">
        <v>15</v>
      </c>
      <c r="I414" s="38">
        <v>2310</v>
      </c>
      <c r="J414">
        <v>18</v>
      </c>
      <c r="K414">
        <v>1</v>
      </c>
    </row>
    <row r="415" hidden="1" spans="1:11">
      <c r="A415">
        <v>414</v>
      </c>
      <c r="B415">
        <v>25</v>
      </c>
      <c r="C415" t="s">
        <v>11</v>
      </c>
      <c r="D415" t="s">
        <v>12</v>
      </c>
      <c r="E415" t="s">
        <v>13</v>
      </c>
      <c r="F415" s="38">
        <v>2649</v>
      </c>
      <c r="G415" t="s">
        <v>14</v>
      </c>
      <c r="H415" t="s">
        <v>15</v>
      </c>
      <c r="I415" s="38">
        <v>1348.2</v>
      </c>
      <c r="J415">
        <v>12</v>
      </c>
      <c r="K415">
        <v>0</v>
      </c>
    </row>
    <row r="416" hidden="1" spans="1:11">
      <c r="A416">
        <v>415</v>
      </c>
      <c r="B416">
        <v>21</v>
      </c>
      <c r="C416" t="s">
        <v>11</v>
      </c>
      <c r="D416" t="s">
        <v>17</v>
      </c>
      <c r="E416" t="s">
        <v>22</v>
      </c>
      <c r="F416" s="38">
        <v>2409</v>
      </c>
      <c r="G416" t="s">
        <v>14</v>
      </c>
      <c r="H416" t="s">
        <v>25</v>
      </c>
      <c r="I416" s="38">
        <v>12716</v>
      </c>
      <c r="J416">
        <v>24</v>
      </c>
      <c r="K416">
        <v>1</v>
      </c>
    </row>
    <row r="417" hidden="1" spans="1:11">
      <c r="A417">
        <v>416</v>
      </c>
      <c r="B417">
        <v>28</v>
      </c>
      <c r="C417" t="s">
        <v>11</v>
      </c>
      <c r="D417" t="s">
        <v>12</v>
      </c>
      <c r="E417" t="s">
        <v>13</v>
      </c>
      <c r="F417" s="38">
        <v>2922</v>
      </c>
      <c r="G417" t="s">
        <v>14</v>
      </c>
      <c r="H417" t="s">
        <v>25</v>
      </c>
      <c r="I417" s="38">
        <v>1085.4</v>
      </c>
      <c r="J417">
        <v>9</v>
      </c>
      <c r="K417">
        <v>0</v>
      </c>
    </row>
    <row r="418" hidden="1" spans="1:11">
      <c r="A418">
        <v>417</v>
      </c>
      <c r="B418">
        <v>45</v>
      </c>
      <c r="C418" t="s">
        <v>16</v>
      </c>
      <c r="D418" t="s">
        <v>17</v>
      </c>
      <c r="E418" t="s">
        <v>13</v>
      </c>
      <c r="F418" s="38">
        <v>3752</v>
      </c>
      <c r="G418" t="s">
        <v>20</v>
      </c>
      <c r="H418" t="s">
        <v>21</v>
      </c>
      <c r="I418" s="38">
        <v>5681.7</v>
      </c>
      <c r="J418">
        <v>24</v>
      </c>
      <c r="K418">
        <v>0</v>
      </c>
    </row>
    <row r="419" hidden="1" spans="1:11">
      <c r="A419">
        <v>418</v>
      </c>
      <c r="B419">
        <v>26</v>
      </c>
      <c r="C419" t="s">
        <v>11</v>
      </c>
      <c r="D419" t="s">
        <v>17</v>
      </c>
      <c r="E419" t="s">
        <v>22</v>
      </c>
      <c r="F419" s="38">
        <v>2589</v>
      </c>
      <c r="G419" t="s">
        <v>20</v>
      </c>
      <c r="H419" t="s">
        <v>19</v>
      </c>
      <c r="I419" s="38">
        <v>6724.8</v>
      </c>
      <c r="J419">
        <v>12</v>
      </c>
      <c r="K419">
        <v>0</v>
      </c>
    </row>
    <row r="420" hidden="1" spans="1:11">
      <c r="A420">
        <v>419</v>
      </c>
      <c r="B420">
        <v>26</v>
      </c>
      <c r="C420" t="s">
        <v>16</v>
      </c>
      <c r="D420" t="s">
        <v>24</v>
      </c>
      <c r="E420" t="s">
        <v>22</v>
      </c>
      <c r="F420" s="38">
        <v>4945</v>
      </c>
      <c r="G420" t="s">
        <v>14</v>
      </c>
      <c r="H420" t="s">
        <v>15</v>
      </c>
      <c r="I420" s="38">
        <v>2718.9</v>
      </c>
      <c r="J420">
        <v>24</v>
      </c>
      <c r="K420">
        <v>0</v>
      </c>
    </row>
    <row r="421" hidden="1" spans="1:11">
      <c r="A421">
        <v>420</v>
      </c>
      <c r="B421">
        <v>28</v>
      </c>
      <c r="C421" t="s">
        <v>11</v>
      </c>
      <c r="D421" t="s">
        <v>12</v>
      </c>
      <c r="E421" t="s">
        <v>13</v>
      </c>
      <c r="F421" s="38">
        <v>4662</v>
      </c>
      <c r="G421" t="s">
        <v>14</v>
      </c>
      <c r="H421" t="s">
        <v>21</v>
      </c>
      <c r="I421" s="38">
        <v>2014.2</v>
      </c>
      <c r="J421">
        <v>18</v>
      </c>
      <c r="K421">
        <v>0</v>
      </c>
    </row>
    <row r="422" spans="1:11">
      <c r="A422">
        <v>421</v>
      </c>
      <c r="B422">
        <v>30</v>
      </c>
      <c r="C422" t="s">
        <v>16</v>
      </c>
      <c r="D422" t="s">
        <v>12</v>
      </c>
      <c r="E422" t="s">
        <v>13</v>
      </c>
      <c r="F422" s="38">
        <v>6582</v>
      </c>
      <c r="G422" t="s">
        <v>20</v>
      </c>
      <c r="H422" t="s">
        <v>21</v>
      </c>
      <c r="I422" s="38">
        <v>1098.9</v>
      </c>
      <c r="J422">
        <v>6</v>
      </c>
      <c r="K422">
        <v>0</v>
      </c>
    </row>
    <row r="423" hidden="1" spans="1:11">
      <c r="A423">
        <v>422</v>
      </c>
      <c r="B423">
        <v>43</v>
      </c>
      <c r="C423" t="s">
        <v>16</v>
      </c>
      <c r="D423" t="s">
        <v>12</v>
      </c>
      <c r="E423" t="s">
        <v>13</v>
      </c>
      <c r="F423" s="38">
        <v>2263</v>
      </c>
      <c r="G423" t="s">
        <v>14</v>
      </c>
      <c r="H423" t="s">
        <v>15</v>
      </c>
      <c r="I423" s="38">
        <v>1190.2</v>
      </c>
      <c r="J423">
        <v>12</v>
      </c>
      <c r="K423">
        <v>1</v>
      </c>
    </row>
    <row r="424" hidden="1" spans="1:11">
      <c r="A424">
        <v>423</v>
      </c>
      <c r="B424">
        <v>32</v>
      </c>
      <c r="C424" t="s">
        <v>16</v>
      </c>
      <c r="D424" t="s">
        <v>12</v>
      </c>
      <c r="E424" t="s">
        <v>23</v>
      </c>
      <c r="F424" s="38">
        <v>2257</v>
      </c>
      <c r="G424" t="s">
        <v>14</v>
      </c>
      <c r="H424" t="s">
        <v>15</v>
      </c>
      <c r="I424" s="38">
        <v>3724.6</v>
      </c>
      <c r="J424">
        <v>12</v>
      </c>
      <c r="K424">
        <v>1</v>
      </c>
    </row>
    <row r="425" hidden="1" spans="1:11">
      <c r="A425">
        <v>424</v>
      </c>
      <c r="B425">
        <v>43</v>
      </c>
      <c r="C425" t="s">
        <v>16</v>
      </c>
      <c r="D425" t="s">
        <v>17</v>
      </c>
      <c r="E425" t="s">
        <v>13</v>
      </c>
      <c r="F425" s="38">
        <v>3468</v>
      </c>
      <c r="G425" t="s">
        <v>14</v>
      </c>
      <c r="H425" t="s">
        <v>21</v>
      </c>
      <c r="I425" s="38">
        <v>1695.6</v>
      </c>
      <c r="J425">
        <v>12</v>
      </c>
      <c r="K425">
        <v>0</v>
      </c>
    </row>
    <row r="426" hidden="1" spans="1:11">
      <c r="A426">
        <v>425</v>
      </c>
      <c r="B426">
        <v>22</v>
      </c>
      <c r="C426" t="s">
        <v>16</v>
      </c>
      <c r="D426" t="s">
        <v>12</v>
      </c>
      <c r="E426" t="s">
        <v>13</v>
      </c>
      <c r="F426" s="38">
        <v>2913</v>
      </c>
      <c r="G426" t="s">
        <v>14</v>
      </c>
      <c r="H426" t="s">
        <v>21</v>
      </c>
      <c r="I426" s="38">
        <v>1181.7</v>
      </c>
      <c r="J426">
        <v>9</v>
      </c>
      <c r="K426">
        <v>0</v>
      </c>
    </row>
    <row r="427" spans="1:11">
      <c r="A427">
        <v>426</v>
      </c>
      <c r="B427">
        <v>41</v>
      </c>
      <c r="C427" t="s">
        <v>11</v>
      </c>
      <c r="D427" t="s">
        <v>12</v>
      </c>
      <c r="E427" t="s">
        <v>13</v>
      </c>
      <c r="F427" s="38">
        <v>6775</v>
      </c>
      <c r="G427" t="s">
        <v>14</v>
      </c>
      <c r="H427" t="s">
        <v>21</v>
      </c>
      <c r="I427" s="38">
        <v>1819.8</v>
      </c>
      <c r="J427">
        <v>24</v>
      </c>
      <c r="K427">
        <v>0</v>
      </c>
    </row>
    <row r="428" hidden="1" spans="1:11">
      <c r="A428">
        <v>427</v>
      </c>
      <c r="B428">
        <v>81</v>
      </c>
      <c r="C428" t="s">
        <v>16</v>
      </c>
      <c r="D428" t="s">
        <v>17</v>
      </c>
      <c r="E428" t="s">
        <v>13</v>
      </c>
      <c r="F428" s="38">
        <v>4118</v>
      </c>
      <c r="G428" t="s">
        <v>14</v>
      </c>
      <c r="H428" t="s">
        <v>21</v>
      </c>
      <c r="I428" s="38">
        <v>4073.4</v>
      </c>
      <c r="J428">
        <v>24</v>
      </c>
      <c r="K428">
        <v>0</v>
      </c>
    </row>
    <row r="429" hidden="1" spans="1:11">
      <c r="A429">
        <v>428</v>
      </c>
      <c r="B429">
        <v>40</v>
      </c>
      <c r="C429" t="s">
        <v>16</v>
      </c>
      <c r="D429" t="s">
        <v>17</v>
      </c>
      <c r="E429" t="s">
        <v>22</v>
      </c>
      <c r="F429" s="38">
        <v>3696</v>
      </c>
      <c r="G429" t="s">
        <v>14</v>
      </c>
      <c r="H429" t="s">
        <v>15</v>
      </c>
      <c r="I429" s="38">
        <v>3722.4</v>
      </c>
      <c r="J429">
        <v>6</v>
      </c>
      <c r="K429">
        <v>1</v>
      </c>
    </row>
    <row r="430" hidden="1" spans="1:11">
      <c r="A430">
        <v>429</v>
      </c>
      <c r="B430">
        <v>54</v>
      </c>
      <c r="C430" t="s">
        <v>16</v>
      </c>
      <c r="D430" t="s">
        <v>24</v>
      </c>
      <c r="E430" t="s">
        <v>13</v>
      </c>
      <c r="F430" s="38">
        <v>2524</v>
      </c>
      <c r="G430" t="s">
        <v>14</v>
      </c>
      <c r="H430" t="s">
        <v>25</v>
      </c>
      <c r="I430" s="38">
        <v>3137.4</v>
      </c>
      <c r="J430">
        <v>24</v>
      </c>
      <c r="K430">
        <v>0</v>
      </c>
    </row>
    <row r="431" hidden="1" spans="1:11">
      <c r="A431">
        <v>430</v>
      </c>
      <c r="B431">
        <v>36</v>
      </c>
      <c r="C431" t="s">
        <v>11</v>
      </c>
      <c r="D431" t="s">
        <v>17</v>
      </c>
      <c r="E431" t="s">
        <v>13</v>
      </c>
      <c r="F431" s="38">
        <v>2671</v>
      </c>
      <c r="G431" t="s">
        <v>14</v>
      </c>
      <c r="H431" t="s">
        <v>19</v>
      </c>
      <c r="I431" s="38">
        <v>1326.6</v>
      </c>
      <c r="J431">
        <v>12</v>
      </c>
      <c r="K431">
        <v>0</v>
      </c>
    </row>
    <row r="432" hidden="1" spans="1:11">
      <c r="A432">
        <v>431</v>
      </c>
      <c r="B432">
        <v>33</v>
      </c>
      <c r="C432" t="s">
        <v>16</v>
      </c>
      <c r="D432" t="s">
        <v>12</v>
      </c>
      <c r="E432" t="s">
        <v>22</v>
      </c>
      <c r="F432" s="38">
        <v>3563</v>
      </c>
      <c r="G432" t="s">
        <v>14</v>
      </c>
      <c r="H432" t="s">
        <v>21</v>
      </c>
      <c r="I432" s="38">
        <v>1566</v>
      </c>
      <c r="J432">
        <v>6</v>
      </c>
      <c r="K432">
        <v>0</v>
      </c>
    </row>
    <row r="433" hidden="1" spans="1:11">
      <c r="A433">
        <v>432</v>
      </c>
      <c r="B433">
        <v>36</v>
      </c>
      <c r="C433" t="s">
        <v>11</v>
      </c>
      <c r="D433" t="s">
        <v>12</v>
      </c>
      <c r="E433" t="s">
        <v>13</v>
      </c>
      <c r="F433" s="38">
        <v>2976</v>
      </c>
      <c r="G433" t="s">
        <v>26</v>
      </c>
      <c r="H433" t="s">
        <v>25</v>
      </c>
      <c r="I433" s="38">
        <v>15044.4</v>
      </c>
      <c r="J433">
        <v>48</v>
      </c>
      <c r="K433">
        <v>0</v>
      </c>
    </row>
    <row r="434" hidden="1" spans="1:11">
      <c r="A434">
        <v>433</v>
      </c>
      <c r="B434">
        <v>40</v>
      </c>
      <c r="C434" t="s">
        <v>11</v>
      </c>
      <c r="D434" t="s">
        <v>24</v>
      </c>
      <c r="E434" t="s">
        <v>13</v>
      </c>
      <c r="F434" s="38">
        <v>3168</v>
      </c>
      <c r="G434" t="s">
        <v>26</v>
      </c>
      <c r="H434" t="s">
        <v>21</v>
      </c>
      <c r="I434" s="38">
        <v>1414.8</v>
      </c>
      <c r="J434">
        <v>21</v>
      </c>
      <c r="K434">
        <v>0</v>
      </c>
    </row>
    <row r="435" hidden="1" spans="1:11">
      <c r="A435">
        <v>434</v>
      </c>
      <c r="B435">
        <v>35</v>
      </c>
      <c r="C435" t="s">
        <v>11</v>
      </c>
      <c r="D435" t="s">
        <v>12</v>
      </c>
      <c r="E435" t="s">
        <v>13</v>
      </c>
      <c r="F435" s="38">
        <v>2023</v>
      </c>
      <c r="G435" t="s">
        <v>14</v>
      </c>
      <c r="H435" t="s">
        <v>25</v>
      </c>
      <c r="I435" s="38">
        <v>1306.8</v>
      </c>
      <c r="J435">
        <v>21</v>
      </c>
      <c r="K435">
        <v>1</v>
      </c>
    </row>
    <row r="436" hidden="1" spans="1:11">
      <c r="A436">
        <v>435</v>
      </c>
      <c r="B436">
        <v>22</v>
      </c>
      <c r="C436" t="s">
        <v>16</v>
      </c>
      <c r="D436" t="s">
        <v>17</v>
      </c>
      <c r="E436" t="s">
        <v>23</v>
      </c>
      <c r="F436" s="38">
        <v>3863</v>
      </c>
      <c r="G436" t="s">
        <v>14</v>
      </c>
      <c r="H436" t="s">
        <v>15</v>
      </c>
      <c r="I436" s="38">
        <v>5065.5</v>
      </c>
      <c r="J436">
        <v>48</v>
      </c>
      <c r="K436">
        <v>1</v>
      </c>
    </row>
    <row r="437" hidden="1" spans="1:11">
      <c r="A437">
        <v>436</v>
      </c>
      <c r="B437">
        <v>55</v>
      </c>
      <c r="C437" t="s">
        <v>16</v>
      </c>
      <c r="D437" t="s">
        <v>12</v>
      </c>
      <c r="E437" t="s">
        <v>13</v>
      </c>
      <c r="F437" s="38">
        <v>1988</v>
      </c>
      <c r="G437" t="s">
        <v>14</v>
      </c>
      <c r="H437" t="s">
        <v>21</v>
      </c>
      <c r="I437" s="38">
        <v>2016.9</v>
      </c>
      <c r="J437">
        <v>21</v>
      </c>
      <c r="K437">
        <v>0</v>
      </c>
    </row>
    <row r="438" spans="1:11">
      <c r="A438">
        <v>437</v>
      </c>
      <c r="B438">
        <v>24</v>
      </c>
      <c r="C438" t="s">
        <v>16</v>
      </c>
      <c r="D438" t="s">
        <v>24</v>
      </c>
      <c r="E438" t="s">
        <v>22</v>
      </c>
      <c r="F438" s="38">
        <v>6146</v>
      </c>
      <c r="G438" t="s">
        <v>14</v>
      </c>
      <c r="H438" t="s">
        <v>25</v>
      </c>
      <c r="I438" s="38">
        <v>248.4</v>
      </c>
      <c r="J438">
        <v>9</v>
      </c>
      <c r="K438">
        <v>0</v>
      </c>
    </row>
    <row r="439" hidden="1" spans="1:11">
      <c r="A439">
        <v>438</v>
      </c>
      <c r="B439">
        <v>44</v>
      </c>
      <c r="C439" t="s">
        <v>16</v>
      </c>
      <c r="D439" t="s">
        <v>24</v>
      </c>
      <c r="E439" t="s">
        <v>13</v>
      </c>
      <c r="F439" s="38">
        <v>4211</v>
      </c>
      <c r="G439" t="s">
        <v>14</v>
      </c>
      <c r="H439" t="s">
        <v>15</v>
      </c>
      <c r="I439" s="38">
        <v>630.9</v>
      </c>
      <c r="J439">
        <v>12</v>
      </c>
      <c r="K439">
        <v>0</v>
      </c>
    </row>
    <row r="440" spans="1:11">
      <c r="A440">
        <v>439</v>
      </c>
      <c r="B440">
        <v>25</v>
      </c>
      <c r="C440" t="s">
        <v>16</v>
      </c>
      <c r="D440" t="s">
        <v>12</v>
      </c>
      <c r="E440" t="s">
        <v>22</v>
      </c>
      <c r="F440" s="38">
        <v>6372</v>
      </c>
      <c r="G440" t="s">
        <v>14</v>
      </c>
      <c r="H440" t="s">
        <v>19</v>
      </c>
      <c r="I440" s="38">
        <v>1167.3</v>
      </c>
      <c r="J440">
        <v>12</v>
      </c>
      <c r="K440">
        <v>0</v>
      </c>
    </row>
    <row r="441" hidden="1" spans="1:11">
      <c r="A441">
        <v>440</v>
      </c>
      <c r="B441">
        <v>40</v>
      </c>
      <c r="C441" t="s">
        <v>16</v>
      </c>
      <c r="D441" t="s">
        <v>17</v>
      </c>
      <c r="E441" t="s">
        <v>13</v>
      </c>
      <c r="F441" s="38">
        <v>4683</v>
      </c>
      <c r="G441" t="s">
        <v>20</v>
      </c>
      <c r="H441" t="s">
        <v>21</v>
      </c>
      <c r="I441" s="38">
        <v>1114.2</v>
      </c>
      <c r="J441">
        <v>6</v>
      </c>
      <c r="K441">
        <v>0</v>
      </c>
    </row>
    <row r="442" hidden="1" spans="1:11">
      <c r="A442">
        <v>441</v>
      </c>
      <c r="B442">
        <v>34</v>
      </c>
      <c r="C442" t="s">
        <v>11</v>
      </c>
      <c r="D442" t="s">
        <v>17</v>
      </c>
      <c r="E442" t="s">
        <v>13</v>
      </c>
      <c r="F442" s="38">
        <v>2148</v>
      </c>
      <c r="G442" t="s">
        <v>26</v>
      </c>
      <c r="H442" t="s">
        <v>21</v>
      </c>
      <c r="I442" s="38">
        <v>2503.8</v>
      </c>
      <c r="J442">
        <v>21</v>
      </c>
      <c r="K442">
        <v>0</v>
      </c>
    </row>
    <row r="443" hidden="1" spans="1:11">
      <c r="A443">
        <v>442</v>
      </c>
      <c r="B443">
        <v>35</v>
      </c>
      <c r="C443" t="s">
        <v>16</v>
      </c>
      <c r="D443" t="s">
        <v>17</v>
      </c>
      <c r="E443" t="s">
        <v>23</v>
      </c>
      <c r="F443" s="38">
        <v>4376</v>
      </c>
      <c r="G443" t="s">
        <v>14</v>
      </c>
      <c r="H443" t="s">
        <v>21</v>
      </c>
      <c r="I443" s="38">
        <v>1354.5</v>
      </c>
      <c r="J443">
        <v>18</v>
      </c>
      <c r="K443">
        <v>0</v>
      </c>
    </row>
    <row r="444" hidden="1" spans="1:11">
      <c r="A444">
        <v>443</v>
      </c>
      <c r="B444">
        <v>52</v>
      </c>
      <c r="C444" t="s">
        <v>16</v>
      </c>
      <c r="D444" t="s">
        <v>12</v>
      </c>
      <c r="E444" t="s">
        <v>13</v>
      </c>
      <c r="F444" s="38">
        <v>5200</v>
      </c>
      <c r="G444" t="s">
        <v>14</v>
      </c>
      <c r="H444" t="s">
        <v>21</v>
      </c>
      <c r="I444" s="38">
        <v>1253.7</v>
      </c>
      <c r="J444">
        <v>12</v>
      </c>
      <c r="K444">
        <v>0</v>
      </c>
    </row>
    <row r="445" hidden="1" spans="1:11">
      <c r="A445">
        <v>444</v>
      </c>
      <c r="B445">
        <v>44</v>
      </c>
      <c r="C445" t="s">
        <v>16</v>
      </c>
      <c r="D445" t="s">
        <v>17</v>
      </c>
      <c r="E445" t="s">
        <v>13</v>
      </c>
      <c r="F445" s="38">
        <v>4462</v>
      </c>
      <c r="G445" t="s">
        <v>14</v>
      </c>
      <c r="H445" t="s">
        <v>25</v>
      </c>
      <c r="I445" s="38">
        <v>3231</v>
      </c>
      <c r="J445">
        <v>18</v>
      </c>
      <c r="K445">
        <v>0</v>
      </c>
    </row>
    <row r="446" hidden="1" spans="1:11">
      <c r="A446">
        <v>445</v>
      </c>
      <c r="B446">
        <v>21</v>
      </c>
      <c r="C446" t="s">
        <v>11</v>
      </c>
      <c r="D446" t="s">
        <v>24</v>
      </c>
      <c r="E446" t="s">
        <v>22</v>
      </c>
      <c r="F446" s="38">
        <v>1683</v>
      </c>
      <c r="G446" t="s">
        <v>14</v>
      </c>
      <c r="H446" t="s">
        <v>15</v>
      </c>
      <c r="I446" s="38">
        <v>3557.4</v>
      </c>
      <c r="J446">
        <v>24</v>
      </c>
      <c r="K446">
        <v>1</v>
      </c>
    </row>
    <row r="447" hidden="1" spans="1:11">
      <c r="A447">
        <v>446</v>
      </c>
      <c r="B447">
        <v>34</v>
      </c>
      <c r="C447" t="s">
        <v>16</v>
      </c>
      <c r="D447" t="s">
        <v>17</v>
      </c>
      <c r="E447" t="s">
        <v>13</v>
      </c>
      <c r="F447" s="38">
        <v>5485</v>
      </c>
      <c r="G447" t="s">
        <v>14</v>
      </c>
      <c r="H447" t="s">
        <v>21</v>
      </c>
      <c r="I447" s="38">
        <v>2165.4</v>
      </c>
      <c r="J447">
        <v>9</v>
      </c>
      <c r="K447">
        <v>0</v>
      </c>
    </row>
    <row r="448" spans="1:11">
      <c r="A448">
        <v>447</v>
      </c>
      <c r="B448">
        <v>24</v>
      </c>
      <c r="C448" t="s">
        <v>16</v>
      </c>
      <c r="D448" t="s">
        <v>12</v>
      </c>
      <c r="E448" t="s">
        <v>13</v>
      </c>
      <c r="F448" s="38">
        <v>6585</v>
      </c>
      <c r="G448" t="s">
        <v>18</v>
      </c>
      <c r="H448" t="s">
        <v>25</v>
      </c>
      <c r="I448" s="38">
        <v>1362.6</v>
      </c>
      <c r="J448">
        <v>15</v>
      </c>
      <c r="K448">
        <v>0</v>
      </c>
    </row>
    <row r="449" hidden="1" spans="1:11">
      <c r="A449">
        <v>448</v>
      </c>
      <c r="B449">
        <v>43</v>
      </c>
      <c r="C449" t="s">
        <v>16</v>
      </c>
      <c r="D449" t="s">
        <v>12</v>
      </c>
      <c r="E449" t="s">
        <v>13</v>
      </c>
      <c r="F449" s="38">
        <v>2275</v>
      </c>
      <c r="G449" t="s">
        <v>26</v>
      </c>
      <c r="H449" t="s">
        <v>21</v>
      </c>
      <c r="I449" s="38">
        <v>2069.1</v>
      </c>
      <c r="J449">
        <v>36</v>
      </c>
      <c r="K449">
        <v>0</v>
      </c>
    </row>
    <row r="450" hidden="1" spans="1:11">
      <c r="A450">
        <v>449</v>
      </c>
      <c r="B450">
        <v>62</v>
      </c>
      <c r="C450" t="s">
        <v>11</v>
      </c>
      <c r="D450" t="s">
        <v>12</v>
      </c>
      <c r="E450" t="s">
        <v>13</v>
      </c>
      <c r="F450" s="38">
        <v>2288</v>
      </c>
      <c r="G450" t="s">
        <v>14</v>
      </c>
      <c r="H450" t="s">
        <v>21</v>
      </c>
      <c r="I450" s="38">
        <v>1384.2</v>
      </c>
      <c r="J450">
        <v>6</v>
      </c>
      <c r="K450">
        <v>0</v>
      </c>
    </row>
    <row r="451" hidden="1" spans="1:11">
      <c r="A451">
        <v>450</v>
      </c>
      <c r="B451">
        <v>26</v>
      </c>
      <c r="C451" t="s">
        <v>11</v>
      </c>
      <c r="D451" t="s">
        <v>24</v>
      </c>
      <c r="E451" t="s">
        <v>22</v>
      </c>
      <c r="F451" s="38">
        <v>4300</v>
      </c>
      <c r="G451" t="s">
        <v>26</v>
      </c>
      <c r="H451" t="s">
        <v>21</v>
      </c>
      <c r="I451" s="38">
        <v>1235.3</v>
      </c>
      <c r="J451">
        <v>12</v>
      </c>
      <c r="K451">
        <v>1</v>
      </c>
    </row>
    <row r="452" hidden="1" spans="1:11">
      <c r="A452">
        <v>451</v>
      </c>
      <c r="B452">
        <v>26</v>
      </c>
      <c r="C452" t="s">
        <v>16</v>
      </c>
      <c r="D452" t="s">
        <v>12</v>
      </c>
      <c r="E452" t="s">
        <v>22</v>
      </c>
      <c r="F452" s="38">
        <v>3149</v>
      </c>
      <c r="G452" t="s">
        <v>14</v>
      </c>
      <c r="H452" t="s">
        <v>15</v>
      </c>
      <c r="I452" s="38">
        <v>12997.6</v>
      </c>
      <c r="J452">
        <v>45</v>
      </c>
      <c r="K452">
        <v>1</v>
      </c>
    </row>
    <row r="453" hidden="1" spans="1:11">
      <c r="A453">
        <v>452</v>
      </c>
      <c r="B453">
        <v>24</v>
      </c>
      <c r="C453" t="s">
        <v>16</v>
      </c>
      <c r="D453" t="s">
        <v>12</v>
      </c>
      <c r="E453" t="s">
        <v>13</v>
      </c>
      <c r="F453" s="38">
        <v>3564</v>
      </c>
      <c r="G453" t="s">
        <v>26</v>
      </c>
      <c r="H453" t="s">
        <v>15</v>
      </c>
      <c r="I453" s="38">
        <v>2234.7</v>
      </c>
      <c r="J453">
        <v>24</v>
      </c>
      <c r="K453">
        <v>0</v>
      </c>
    </row>
    <row r="454" spans="1:11">
      <c r="A454">
        <v>453</v>
      </c>
      <c r="B454">
        <v>24</v>
      </c>
      <c r="C454" t="s">
        <v>16</v>
      </c>
      <c r="D454" t="s">
        <v>12</v>
      </c>
      <c r="E454" t="s">
        <v>13</v>
      </c>
      <c r="F454" s="38">
        <v>6584</v>
      </c>
      <c r="G454" t="s">
        <v>14</v>
      </c>
      <c r="H454" t="s">
        <v>25</v>
      </c>
      <c r="I454" s="38">
        <v>3448.8</v>
      </c>
      <c r="J454">
        <v>30</v>
      </c>
      <c r="K454">
        <v>0</v>
      </c>
    </row>
    <row r="455" hidden="1" spans="1:11">
      <c r="A455">
        <v>454</v>
      </c>
      <c r="B455">
        <v>21</v>
      </c>
      <c r="C455" t="s">
        <v>16</v>
      </c>
      <c r="D455" t="s">
        <v>12</v>
      </c>
      <c r="E455" t="s">
        <v>22</v>
      </c>
      <c r="F455" s="38">
        <v>4305</v>
      </c>
      <c r="G455" t="s">
        <v>14</v>
      </c>
      <c r="H455" t="s">
        <v>25</v>
      </c>
      <c r="I455" s="38">
        <v>1687.4</v>
      </c>
      <c r="J455">
        <v>12</v>
      </c>
      <c r="K455">
        <v>1</v>
      </c>
    </row>
    <row r="456" hidden="1" spans="1:11">
      <c r="A456">
        <v>455</v>
      </c>
      <c r="B456">
        <v>39</v>
      </c>
      <c r="C456" t="s">
        <v>16</v>
      </c>
      <c r="D456" t="s">
        <v>24</v>
      </c>
      <c r="E456" t="s">
        <v>13</v>
      </c>
      <c r="F456" s="38">
        <v>2819</v>
      </c>
      <c r="G456" t="s">
        <v>14</v>
      </c>
      <c r="H456" t="s">
        <v>21</v>
      </c>
      <c r="I456" s="38">
        <v>2415.6</v>
      </c>
      <c r="J456">
        <v>24</v>
      </c>
      <c r="K456">
        <v>0</v>
      </c>
    </row>
    <row r="457" hidden="1" spans="1:11">
      <c r="A457">
        <v>456</v>
      </c>
      <c r="B457">
        <v>32</v>
      </c>
      <c r="C457" t="s">
        <v>16</v>
      </c>
      <c r="D457" t="s">
        <v>12</v>
      </c>
      <c r="E457" t="s">
        <v>13</v>
      </c>
      <c r="F457" s="38">
        <v>3958</v>
      </c>
      <c r="G457" t="s">
        <v>18</v>
      </c>
      <c r="H457" t="s">
        <v>15</v>
      </c>
      <c r="I457" s="38">
        <v>4306.5</v>
      </c>
      <c r="J457">
        <v>27</v>
      </c>
      <c r="K457">
        <v>1</v>
      </c>
    </row>
    <row r="458" hidden="1" spans="1:11">
      <c r="A458">
        <v>457</v>
      </c>
      <c r="B458">
        <v>31</v>
      </c>
      <c r="C458" t="s">
        <v>16</v>
      </c>
      <c r="D458" t="s">
        <v>12</v>
      </c>
      <c r="E458" t="s">
        <v>23</v>
      </c>
      <c r="F458" s="38">
        <v>4535</v>
      </c>
      <c r="G458" t="s">
        <v>14</v>
      </c>
      <c r="H458" t="s">
        <v>21</v>
      </c>
      <c r="I458" s="38">
        <v>3008.7</v>
      </c>
      <c r="J458">
        <v>15</v>
      </c>
      <c r="K458">
        <v>0</v>
      </c>
    </row>
    <row r="459" hidden="1" spans="1:11">
      <c r="A459">
        <v>458</v>
      </c>
      <c r="B459">
        <v>52</v>
      </c>
      <c r="C459" t="s">
        <v>16</v>
      </c>
      <c r="D459" t="s">
        <v>12</v>
      </c>
      <c r="E459" t="s">
        <v>13</v>
      </c>
      <c r="F459" s="38">
        <v>4936</v>
      </c>
      <c r="G459" t="s">
        <v>26</v>
      </c>
      <c r="H459" t="s">
        <v>21</v>
      </c>
      <c r="I459" s="38">
        <v>1091.7</v>
      </c>
      <c r="J459">
        <v>15</v>
      </c>
      <c r="K459">
        <v>0</v>
      </c>
    </row>
    <row r="460" hidden="1" spans="1:11">
      <c r="A460">
        <v>459</v>
      </c>
      <c r="B460">
        <v>40</v>
      </c>
      <c r="C460" t="s">
        <v>16</v>
      </c>
      <c r="D460" t="s">
        <v>12</v>
      </c>
      <c r="E460" t="s">
        <v>13</v>
      </c>
      <c r="F460" s="38">
        <v>4123</v>
      </c>
      <c r="G460" t="s">
        <v>14</v>
      </c>
      <c r="H460" t="s">
        <v>15</v>
      </c>
      <c r="I460" s="38">
        <v>1708.3</v>
      </c>
      <c r="J460">
        <v>18</v>
      </c>
      <c r="K460">
        <v>1</v>
      </c>
    </row>
    <row r="461" hidden="1" spans="1:11">
      <c r="A461">
        <v>460</v>
      </c>
      <c r="B461">
        <v>23</v>
      </c>
      <c r="C461" t="s">
        <v>11</v>
      </c>
      <c r="D461" t="s">
        <v>12</v>
      </c>
      <c r="E461" t="s">
        <v>13</v>
      </c>
      <c r="F461" s="38">
        <v>1619</v>
      </c>
      <c r="G461" t="s">
        <v>20</v>
      </c>
      <c r="H461" t="s">
        <v>21</v>
      </c>
      <c r="I461" s="38">
        <v>1524.6</v>
      </c>
      <c r="J461">
        <v>12</v>
      </c>
      <c r="K461">
        <v>1</v>
      </c>
    </row>
    <row r="462" hidden="1" spans="1:11">
      <c r="A462">
        <v>461</v>
      </c>
      <c r="B462">
        <v>22</v>
      </c>
      <c r="C462" t="s">
        <v>16</v>
      </c>
      <c r="D462" t="s">
        <v>12</v>
      </c>
      <c r="E462" t="s">
        <v>13</v>
      </c>
      <c r="F462" s="38">
        <v>3371</v>
      </c>
      <c r="G462" t="s">
        <v>14</v>
      </c>
      <c r="H462" t="s">
        <v>15</v>
      </c>
      <c r="I462" s="38">
        <v>10591.9</v>
      </c>
      <c r="J462">
        <v>36</v>
      </c>
      <c r="K462">
        <v>1</v>
      </c>
    </row>
    <row r="463" hidden="1" spans="1:11">
      <c r="A463">
        <v>462</v>
      </c>
      <c r="B463">
        <v>41</v>
      </c>
      <c r="C463" t="s">
        <v>16</v>
      </c>
      <c r="D463" t="s">
        <v>12</v>
      </c>
      <c r="E463" t="s">
        <v>13</v>
      </c>
      <c r="F463" s="38">
        <v>4041</v>
      </c>
      <c r="G463" t="s">
        <v>14</v>
      </c>
      <c r="H463" t="s">
        <v>15</v>
      </c>
      <c r="I463" s="38">
        <v>2533.3</v>
      </c>
      <c r="J463">
        <v>24</v>
      </c>
      <c r="K463">
        <v>1</v>
      </c>
    </row>
    <row r="464" hidden="1" spans="1:11">
      <c r="A464">
        <v>463</v>
      </c>
      <c r="B464">
        <v>38</v>
      </c>
      <c r="C464" t="s">
        <v>16</v>
      </c>
      <c r="D464" t="s">
        <v>17</v>
      </c>
      <c r="E464" t="s">
        <v>13</v>
      </c>
      <c r="F464" s="38">
        <v>1362</v>
      </c>
      <c r="G464" t="s">
        <v>14</v>
      </c>
      <c r="H464" t="s">
        <v>15</v>
      </c>
      <c r="I464" s="38">
        <v>26263.6</v>
      </c>
      <c r="J464">
        <v>24</v>
      </c>
      <c r="K464">
        <v>1</v>
      </c>
    </row>
    <row r="465" hidden="1" spans="1:11">
      <c r="A465">
        <v>464</v>
      </c>
      <c r="B465">
        <v>31</v>
      </c>
      <c r="C465" t="s">
        <v>11</v>
      </c>
      <c r="D465" t="s">
        <v>17</v>
      </c>
      <c r="E465" t="s">
        <v>13</v>
      </c>
      <c r="F465" s="38">
        <v>5484</v>
      </c>
      <c r="G465" t="s">
        <v>18</v>
      </c>
      <c r="H465" t="s">
        <v>19</v>
      </c>
      <c r="I465" s="38">
        <v>2630.7</v>
      </c>
      <c r="J465">
        <v>21</v>
      </c>
      <c r="K465">
        <v>0</v>
      </c>
    </row>
    <row r="466" spans="1:11">
      <c r="A466">
        <v>465</v>
      </c>
      <c r="B466">
        <v>55</v>
      </c>
      <c r="C466" t="s">
        <v>16</v>
      </c>
      <c r="D466" t="s">
        <v>12</v>
      </c>
      <c r="E466" t="s">
        <v>13</v>
      </c>
      <c r="F466" s="38">
        <v>6540</v>
      </c>
      <c r="G466" t="s">
        <v>20</v>
      </c>
      <c r="H466" t="s">
        <v>19</v>
      </c>
      <c r="I466" s="38">
        <v>1383.3</v>
      </c>
      <c r="J466">
        <v>15</v>
      </c>
      <c r="K466">
        <v>0</v>
      </c>
    </row>
    <row r="467" hidden="1" spans="1:11">
      <c r="A467">
        <v>466</v>
      </c>
      <c r="B467">
        <v>20</v>
      </c>
      <c r="C467" t="s">
        <v>11</v>
      </c>
      <c r="D467" t="s">
        <v>17</v>
      </c>
      <c r="E467" t="s">
        <v>13</v>
      </c>
      <c r="F467" s="38">
        <v>2647</v>
      </c>
      <c r="G467" t="s">
        <v>18</v>
      </c>
      <c r="H467" t="s">
        <v>21</v>
      </c>
      <c r="I467" s="38">
        <v>6546.1</v>
      </c>
      <c r="J467">
        <v>48</v>
      </c>
      <c r="K467">
        <v>1</v>
      </c>
    </row>
    <row r="468" hidden="1" spans="1:11">
      <c r="A468">
        <v>467</v>
      </c>
      <c r="B468">
        <v>26</v>
      </c>
      <c r="C468" t="s">
        <v>11</v>
      </c>
      <c r="D468" t="s">
        <v>12</v>
      </c>
      <c r="E468" t="s">
        <v>13</v>
      </c>
      <c r="F468" s="38">
        <v>4633</v>
      </c>
      <c r="G468" t="s">
        <v>20</v>
      </c>
      <c r="H468" t="s">
        <v>21</v>
      </c>
      <c r="I468" s="38">
        <v>786.6</v>
      </c>
      <c r="J468">
        <v>15</v>
      </c>
      <c r="K468">
        <v>0</v>
      </c>
    </row>
    <row r="469" hidden="1" spans="1:11">
      <c r="A469">
        <v>468</v>
      </c>
      <c r="B469">
        <v>19</v>
      </c>
      <c r="C469" t="s">
        <v>11</v>
      </c>
      <c r="D469" t="s">
        <v>12</v>
      </c>
      <c r="E469" t="s">
        <v>22</v>
      </c>
      <c r="F469" s="38">
        <v>1408</v>
      </c>
      <c r="G469" t="s">
        <v>18</v>
      </c>
      <c r="H469" t="s">
        <v>25</v>
      </c>
      <c r="I469" s="38">
        <v>3785.1</v>
      </c>
      <c r="J469">
        <v>30</v>
      </c>
      <c r="K469">
        <v>1</v>
      </c>
    </row>
    <row r="470" hidden="1" spans="1:11">
      <c r="A470">
        <v>469</v>
      </c>
      <c r="B470">
        <v>32</v>
      </c>
      <c r="C470" t="s">
        <v>11</v>
      </c>
      <c r="D470" t="s">
        <v>12</v>
      </c>
      <c r="E470" t="s">
        <v>23</v>
      </c>
      <c r="F470" s="38">
        <v>4000</v>
      </c>
      <c r="G470" t="s">
        <v>14</v>
      </c>
      <c r="H470" t="s">
        <v>15</v>
      </c>
      <c r="I470" s="38">
        <v>1317.8</v>
      </c>
      <c r="J470">
        <v>6</v>
      </c>
      <c r="K470">
        <v>1</v>
      </c>
    </row>
    <row r="471" hidden="1" spans="1:11">
      <c r="A471">
        <v>470</v>
      </c>
      <c r="B471">
        <v>25</v>
      </c>
      <c r="C471" t="s">
        <v>16</v>
      </c>
      <c r="D471" t="s">
        <v>12</v>
      </c>
      <c r="E471" t="s">
        <v>13</v>
      </c>
      <c r="F471" s="38">
        <v>3209</v>
      </c>
      <c r="G471" t="s">
        <v>14</v>
      </c>
      <c r="H471" t="s">
        <v>19</v>
      </c>
      <c r="I471" s="38">
        <v>3521.7</v>
      </c>
      <c r="J471">
        <v>36</v>
      </c>
      <c r="K471">
        <v>0</v>
      </c>
    </row>
    <row r="472" hidden="1" spans="1:11">
      <c r="A472">
        <v>471</v>
      </c>
      <c r="B472">
        <v>22</v>
      </c>
      <c r="C472" t="s">
        <v>11</v>
      </c>
      <c r="D472" t="s">
        <v>24</v>
      </c>
      <c r="E472" t="s">
        <v>22</v>
      </c>
      <c r="F472" s="38">
        <v>3366</v>
      </c>
      <c r="G472" t="s">
        <v>14</v>
      </c>
      <c r="H472" t="s">
        <v>15</v>
      </c>
      <c r="I472" s="38">
        <v>1700.6</v>
      </c>
      <c r="J472">
        <v>24</v>
      </c>
      <c r="K472">
        <v>1</v>
      </c>
    </row>
    <row r="473" hidden="1" spans="1:11">
      <c r="A473">
        <v>472</v>
      </c>
      <c r="B473">
        <v>42</v>
      </c>
      <c r="C473" t="s">
        <v>16</v>
      </c>
      <c r="D473" t="s">
        <v>24</v>
      </c>
      <c r="E473" t="s">
        <v>13</v>
      </c>
      <c r="F473" s="38">
        <v>3757</v>
      </c>
      <c r="G473" t="s">
        <v>14</v>
      </c>
      <c r="H473" t="s">
        <v>21</v>
      </c>
      <c r="I473" s="38">
        <v>1345.5</v>
      </c>
      <c r="J473">
        <v>12</v>
      </c>
      <c r="K473">
        <v>0</v>
      </c>
    </row>
    <row r="474" hidden="1" spans="1:11">
      <c r="A474">
        <v>473</v>
      </c>
      <c r="B474">
        <v>29</v>
      </c>
      <c r="C474" t="s">
        <v>11</v>
      </c>
      <c r="D474" t="s">
        <v>17</v>
      </c>
      <c r="E474" t="s">
        <v>13</v>
      </c>
      <c r="F474" s="38">
        <v>2890</v>
      </c>
      <c r="G474" t="s">
        <v>14</v>
      </c>
      <c r="H474" t="s">
        <v>25</v>
      </c>
      <c r="I474" s="38">
        <v>20266.4</v>
      </c>
      <c r="J474">
        <v>48</v>
      </c>
      <c r="K474">
        <v>1</v>
      </c>
    </row>
    <row r="475" hidden="1" spans="1:11">
      <c r="A475">
        <v>474</v>
      </c>
      <c r="B475">
        <v>51</v>
      </c>
      <c r="C475" t="s">
        <v>16</v>
      </c>
      <c r="D475" t="s">
        <v>12</v>
      </c>
      <c r="E475" t="s">
        <v>13</v>
      </c>
      <c r="F475" s="38">
        <v>2432</v>
      </c>
      <c r="G475" t="s">
        <v>14</v>
      </c>
      <c r="H475" t="s">
        <v>15</v>
      </c>
      <c r="I475" s="38">
        <v>2113.2</v>
      </c>
      <c r="J475">
        <v>36</v>
      </c>
      <c r="K475">
        <v>0</v>
      </c>
    </row>
    <row r="476" spans="1:11">
      <c r="A476">
        <v>475</v>
      </c>
      <c r="B476">
        <v>41</v>
      </c>
      <c r="C476" t="s">
        <v>16</v>
      </c>
      <c r="D476" t="s">
        <v>12</v>
      </c>
      <c r="E476" t="s">
        <v>13</v>
      </c>
      <c r="F476" s="38">
        <v>6262</v>
      </c>
      <c r="G476" t="s">
        <v>14</v>
      </c>
      <c r="H476" t="s">
        <v>19</v>
      </c>
      <c r="I476" s="38">
        <v>1102.5</v>
      </c>
      <c r="J476">
        <v>10</v>
      </c>
      <c r="K476">
        <v>0</v>
      </c>
    </row>
    <row r="477" hidden="1" spans="1:11">
      <c r="A477">
        <v>476</v>
      </c>
      <c r="B477">
        <v>66</v>
      </c>
      <c r="C477" t="s">
        <v>11</v>
      </c>
      <c r="D477" t="s">
        <v>17</v>
      </c>
      <c r="E477" t="s">
        <v>22</v>
      </c>
      <c r="F477" s="38">
        <v>5198</v>
      </c>
      <c r="G477" t="s">
        <v>26</v>
      </c>
      <c r="H477" t="s">
        <v>15</v>
      </c>
      <c r="I477" s="38">
        <v>2215.8</v>
      </c>
      <c r="J477">
        <v>24</v>
      </c>
      <c r="K477">
        <v>0</v>
      </c>
    </row>
    <row r="478" hidden="1" spans="1:11">
      <c r="A478">
        <v>477</v>
      </c>
      <c r="B478">
        <v>26</v>
      </c>
      <c r="C478" t="s">
        <v>11</v>
      </c>
      <c r="D478" t="s">
        <v>17</v>
      </c>
      <c r="E478" t="s">
        <v>13</v>
      </c>
      <c r="F478" s="38">
        <v>1946</v>
      </c>
      <c r="G478" t="s">
        <v>18</v>
      </c>
      <c r="H478" t="s">
        <v>19</v>
      </c>
      <c r="I478" s="38">
        <v>10441.2</v>
      </c>
      <c r="J478">
        <v>45</v>
      </c>
      <c r="K478">
        <v>1</v>
      </c>
    </row>
    <row r="479" hidden="1" spans="1:11">
      <c r="A479">
        <v>478</v>
      </c>
      <c r="B479">
        <v>48</v>
      </c>
      <c r="C479" t="s">
        <v>11</v>
      </c>
      <c r="D479" t="s">
        <v>12</v>
      </c>
      <c r="E479" t="s">
        <v>13</v>
      </c>
      <c r="F479" s="38">
        <v>3736</v>
      </c>
      <c r="G479" t="s">
        <v>14</v>
      </c>
      <c r="H479" t="s">
        <v>15</v>
      </c>
      <c r="I479" s="38">
        <v>11644.6</v>
      </c>
      <c r="J479">
        <v>27</v>
      </c>
      <c r="K479">
        <v>1</v>
      </c>
    </row>
    <row r="480" hidden="1" spans="1:11">
      <c r="A480">
        <v>479</v>
      </c>
      <c r="B480">
        <v>31</v>
      </c>
      <c r="C480" t="s">
        <v>16</v>
      </c>
      <c r="D480" t="s">
        <v>12</v>
      </c>
      <c r="E480" t="s">
        <v>13</v>
      </c>
      <c r="F480" s="38">
        <v>5425</v>
      </c>
      <c r="G480" t="s">
        <v>20</v>
      </c>
      <c r="H480" t="s">
        <v>19</v>
      </c>
      <c r="I480" s="38">
        <v>1698.3</v>
      </c>
      <c r="J480">
        <v>18</v>
      </c>
      <c r="K480">
        <v>0</v>
      </c>
    </row>
    <row r="481" hidden="1" spans="1:11">
      <c r="A481">
        <v>480</v>
      </c>
      <c r="B481">
        <v>19</v>
      </c>
      <c r="C481" t="s">
        <v>16</v>
      </c>
      <c r="D481" t="s">
        <v>12</v>
      </c>
      <c r="E481" t="s">
        <v>22</v>
      </c>
      <c r="F481" s="38">
        <v>1722</v>
      </c>
      <c r="G481" t="s">
        <v>18</v>
      </c>
      <c r="H481" t="s">
        <v>25</v>
      </c>
      <c r="I481" s="38">
        <v>3334.1</v>
      </c>
      <c r="J481">
        <v>45</v>
      </c>
      <c r="K481">
        <v>1</v>
      </c>
    </row>
    <row r="482" hidden="1" spans="1:11">
      <c r="A482">
        <v>481</v>
      </c>
      <c r="B482">
        <v>61</v>
      </c>
      <c r="C482" t="s">
        <v>16</v>
      </c>
      <c r="D482" t="s">
        <v>17</v>
      </c>
      <c r="E482" t="s">
        <v>23</v>
      </c>
      <c r="F482" s="38">
        <v>3675</v>
      </c>
      <c r="G482" t="s">
        <v>14</v>
      </c>
      <c r="H482" t="s">
        <v>25</v>
      </c>
      <c r="I482" s="38">
        <v>8354.7</v>
      </c>
      <c r="J482">
        <v>42</v>
      </c>
      <c r="K482">
        <v>0</v>
      </c>
    </row>
    <row r="483" spans="1:11">
      <c r="A483">
        <v>482</v>
      </c>
      <c r="B483">
        <v>41</v>
      </c>
      <c r="C483" t="s">
        <v>16</v>
      </c>
      <c r="D483" t="s">
        <v>17</v>
      </c>
      <c r="E483" t="s">
        <v>13</v>
      </c>
      <c r="F483" s="38">
        <v>6259</v>
      </c>
      <c r="G483" t="s">
        <v>20</v>
      </c>
      <c r="H483" t="s">
        <v>19</v>
      </c>
      <c r="I483" s="38">
        <v>4240.8</v>
      </c>
      <c r="J483">
        <v>24</v>
      </c>
      <c r="K483">
        <v>0</v>
      </c>
    </row>
    <row r="484" hidden="1" spans="1:11">
      <c r="A484">
        <v>483</v>
      </c>
      <c r="B484">
        <v>66</v>
      </c>
      <c r="C484" t="s">
        <v>16</v>
      </c>
      <c r="D484" t="s">
        <v>12</v>
      </c>
      <c r="E484" t="s">
        <v>13</v>
      </c>
      <c r="F484" s="38">
        <v>5695</v>
      </c>
      <c r="G484" t="s">
        <v>26</v>
      </c>
      <c r="H484" t="s">
        <v>21</v>
      </c>
      <c r="I484" s="38">
        <v>1746</v>
      </c>
      <c r="J484">
        <v>24</v>
      </c>
      <c r="K484">
        <v>0</v>
      </c>
    </row>
    <row r="485" hidden="1" spans="1:11">
      <c r="A485">
        <v>484</v>
      </c>
      <c r="B485">
        <v>39</v>
      </c>
      <c r="C485" t="s">
        <v>16</v>
      </c>
      <c r="D485" t="s">
        <v>17</v>
      </c>
      <c r="E485" t="s">
        <v>13</v>
      </c>
      <c r="F485" s="38">
        <v>3725</v>
      </c>
      <c r="G485" t="s">
        <v>14</v>
      </c>
      <c r="H485" t="s">
        <v>21</v>
      </c>
      <c r="I485" s="38">
        <v>3402</v>
      </c>
      <c r="J485">
        <v>18</v>
      </c>
      <c r="K485">
        <v>0</v>
      </c>
    </row>
    <row r="486" spans="1:11">
      <c r="A486">
        <v>485</v>
      </c>
      <c r="B486">
        <v>33</v>
      </c>
      <c r="C486" t="s">
        <v>11</v>
      </c>
      <c r="D486" t="s">
        <v>12</v>
      </c>
      <c r="E486" t="s">
        <v>13</v>
      </c>
      <c r="F486" s="38">
        <v>6319</v>
      </c>
      <c r="G486" t="s">
        <v>26</v>
      </c>
      <c r="H486" t="s">
        <v>21</v>
      </c>
      <c r="I486" s="38">
        <v>864</v>
      </c>
      <c r="J486">
        <v>15</v>
      </c>
      <c r="K486">
        <v>0</v>
      </c>
    </row>
    <row r="487" hidden="1" spans="1:11">
      <c r="A487">
        <v>486</v>
      </c>
      <c r="B487">
        <v>25</v>
      </c>
      <c r="C487" t="s">
        <v>11</v>
      </c>
      <c r="D487" t="s">
        <v>12</v>
      </c>
      <c r="E487" t="s">
        <v>13</v>
      </c>
      <c r="F487" s="38">
        <v>3111</v>
      </c>
      <c r="G487" t="s">
        <v>14</v>
      </c>
      <c r="H487" t="s">
        <v>15</v>
      </c>
      <c r="I487" s="38">
        <v>17281</v>
      </c>
      <c r="J487">
        <v>36</v>
      </c>
      <c r="K487">
        <v>1</v>
      </c>
    </row>
    <row r="488" hidden="1" spans="1:11">
      <c r="A488">
        <v>487</v>
      </c>
      <c r="B488">
        <v>57</v>
      </c>
      <c r="C488" t="s">
        <v>16</v>
      </c>
      <c r="D488" t="s">
        <v>24</v>
      </c>
      <c r="E488" t="s">
        <v>13</v>
      </c>
      <c r="F488" s="38">
        <v>2663</v>
      </c>
      <c r="G488" t="s">
        <v>14</v>
      </c>
      <c r="H488" t="s">
        <v>15</v>
      </c>
      <c r="I488" s="38">
        <v>2083.5</v>
      </c>
      <c r="J488">
        <v>10</v>
      </c>
      <c r="K488">
        <v>0</v>
      </c>
    </row>
    <row r="489" hidden="1" spans="1:11">
      <c r="A489">
        <v>488</v>
      </c>
      <c r="B489">
        <v>34</v>
      </c>
      <c r="C489" t="s">
        <v>11</v>
      </c>
      <c r="D489" t="s">
        <v>17</v>
      </c>
      <c r="E489" t="s">
        <v>23</v>
      </c>
      <c r="F489" s="38">
        <v>1375</v>
      </c>
      <c r="G489" t="s">
        <v>14</v>
      </c>
      <c r="H489" t="s">
        <v>25</v>
      </c>
      <c r="I489" s="38">
        <v>14273.6</v>
      </c>
      <c r="J489">
        <v>18</v>
      </c>
      <c r="K489">
        <v>1</v>
      </c>
    </row>
    <row r="490" hidden="1" spans="1:11">
      <c r="A490">
        <v>489</v>
      </c>
      <c r="B490">
        <v>24</v>
      </c>
      <c r="C490" t="s">
        <v>11</v>
      </c>
      <c r="D490" t="s">
        <v>12</v>
      </c>
      <c r="E490" t="s">
        <v>22</v>
      </c>
      <c r="F490" s="38">
        <v>2214</v>
      </c>
      <c r="G490" t="s">
        <v>14</v>
      </c>
      <c r="H490" t="s">
        <v>15</v>
      </c>
      <c r="I490" s="38">
        <v>3285</v>
      </c>
      <c r="J490">
        <v>18</v>
      </c>
      <c r="K490">
        <v>0</v>
      </c>
    </row>
    <row r="491" hidden="1" spans="1:11">
      <c r="A491">
        <v>490</v>
      </c>
      <c r="B491">
        <v>48</v>
      </c>
      <c r="C491" t="s">
        <v>16</v>
      </c>
      <c r="D491" t="s">
        <v>12</v>
      </c>
      <c r="E491" t="s">
        <v>13</v>
      </c>
      <c r="F491" s="38">
        <v>4221</v>
      </c>
      <c r="G491" t="s">
        <v>26</v>
      </c>
      <c r="H491" t="s">
        <v>21</v>
      </c>
      <c r="I491" s="38">
        <v>1046.7</v>
      </c>
      <c r="J491">
        <v>12</v>
      </c>
      <c r="K491">
        <v>0</v>
      </c>
    </row>
    <row r="492" hidden="1" spans="1:11">
      <c r="A492">
        <v>491</v>
      </c>
      <c r="B492">
        <v>24</v>
      </c>
      <c r="C492" t="s">
        <v>11</v>
      </c>
      <c r="D492" t="s">
        <v>17</v>
      </c>
      <c r="E492" t="s">
        <v>13</v>
      </c>
      <c r="F492" s="38">
        <v>3041</v>
      </c>
      <c r="G492" t="s">
        <v>14</v>
      </c>
      <c r="H492" t="s">
        <v>15</v>
      </c>
      <c r="I492" s="38">
        <v>825</v>
      </c>
      <c r="J492">
        <v>18</v>
      </c>
      <c r="K492">
        <v>1</v>
      </c>
    </row>
    <row r="493" hidden="1" spans="1:11">
      <c r="A493">
        <v>492</v>
      </c>
      <c r="B493">
        <v>53</v>
      </c>
      <c r="C493" t="s">
        <v>11</v>
      </c>
      <c r="D493" t="s">
        <v>12</v>
      </c>
      <c r="E493" t="s">
        <v>22</v>
      </c>
      <c r="F493" s="38">
        <v>2617</v>
      </c>
      <c r="G493" t="s">
        <v>14</v>
      </c>
      <c r="H493" t="s">
        <v>25</v>
      </c>
      <c r="I493" s="38">
        <v>7057.6</v>
      </c>
      <c r="J493">
        <v>48</v>
      </c>
      <c r="K493">
        <v>1</v>
      </c>
    </row>
    <row r="494" hidden="1" spans="1:11">
      <c r="A494">
        <v>493</v>
      </c>
      <c r="B494">
        <v>25</v>
      </c>
      <c r="C494" t="s">
        <v>16</v>
      </c>
      <c r="D494" t="s">
        <v>24</v>
      </c>
      <c r="E494" t="s">
        <v>22</v>
      </c>
      <c r="F494" s="38">
        <v>2366</v>
      </c>
      <c r="G494" t="s">
        <v>26</v>
      </c>
      <c r="H494" t="s">
        <v>21</v>
      </c>
      <c r="I494" s="38">
        <v>594</v>
      </c>
      <c r="J494">
        <v>6</v>
      </c>
      <c r="K494">
        <v>0</v>
      </c>
    </row>
    <row r="495" hidden="1" spans="1:11">
      <c r="A495">
        <v>494</v>
      </c>
      <c r="B495">
        <v>64</v>
      </c>
      <c r="C495" t="s">
        <v>16</v>
      </c>
      <c r="D495" t="s">
        <v>12</v>
      </c>
      <c r="E495" t="s">
        <v>13</v>
      </c>
      <c r="F495" s="38">
        <v>3449</v>
      </c>
      <c r="G495" t="s">
        <v>20</v>
      </c>
      <c r="H495" t="s">
        <v>21</v>
      </c>
      <c r="I495" s="38">
        <v>1680.3</v>
      </c>
      <c r="J495">
        <v>30</v>
      </c>
      <c r="K495">
        <v>0</v>
      </c>
    </row>
    <row r="496" hidden="1" spans="1:11">
      <c r="A496">
        <v>495</v>
      </c>
      <c r="B496">
        <v>35</v>
      </c>
      <c r="C496" t="s">
        <v>16</v>
      </c>
      <c r="D496" t="s">
        <v>12</v>
      </c>
      <c r="E496" t="s">
        <v>13</v>
      </c>
      <c r="F496" s="38">
        <v>1751</v>
      </c>
      <c r="G496" t="s">
        <v>26</v>
      </c>
      <c r="H496" t="s">
        <v>25</v>
      </c>
      <c r="I496" s="38">
        <v>2470.5</v>
      </c>
      <c r="J496">
        <v>21</v>
      </c>
      <c r="K496">
        <v>0</v>
      </c>
    </row>
    <row r="497" hidden="1" spans="1:11">
      <c r="A497">
        <v>496</v>
      </c>
      <c r="B497">
        <v>41</v>
      </c>
      <c r="C497" t="s">
        <v>16</v>
      </c>
      <c r="D497" t="s">
        <v>12</v>
      </c>
      <c r="E497" t="s">
        <v>13</v>
      </c>
      <c r="F497" s="38">
        <v>5169</v>
      </c>
      <c r="G497" t="s">
        <v>18</v>
      </c>
      <c r="H497" t="s">
        <v>25</v>
      </c>
      <c r="I497" s="38">
        <v>3490.2</v>
      </c>
      <c r="J497">
        <v>24</v>
      </c>
      <c r="K497">
        <v>0</v>
      </c>
    </row>
    <row r="498" hidden="1" spans="1:11">
      <c r="A498">
        <v>497</v>
      </c>
      <c r="B498">
        <v>34</v>
      </c>
      <c r="C498" t="s">
        <v>16</v>
      </c>
      <c r="D498" t="s">
        <v>12</v>
      </c>
      <c r="E498" t="s">
        <v>13</v>
      </c>
      <c r="F498" s="38">
        <v>5856</v>
      </c>
      <c r="G498" t="s">
        <v>26</v>
      </c>
      <c r="H498" t="s">
        <v>21</v>
      </c>
      <c r="I498" s="38">
        <v>3087</v>
      </c>
      <c r="J498">
        <v>24</v>
      </c>
      <c r="K498">
        <v>0</v>
      </c>
    </row>
    <row r="499" hidden="1" spans="1:11">
      <c r="A499">
        <v>498</v>
      </c>
      <c r="B499">
        <v>33</v>
      </c>
      <c r="C499" t="s">
        <v>16</v>
      </c>
      <c r="D499" t="s">
        <v>12</v>
      </c>
      <c r="E499" t="s">
        <v>22</v>
      </c>
      <c r="F499" s="38">
        <v>2977</v>
      </c>
      <c r="G499" t="s">
        <v>14</v>
      </c>
      <c r="H499" t="s">
        <v>25</v>
      </c>
      <c r="I499" s="38">
        <v>1801.8</v>
      </c>
      <c r="J499">
        <v>12</v>
      </c>
      <c r="K499">
        <v>0</v>
      </c>
    </row>
    <row r="500" hidden="1" spans="1:11">
      <c r="A500">
        <v>499</v>
      </c>
      <c r="B500">
        <v>22</v>
      </c>
      <c r="C500" t="s">
        <v>11</v>
      </c>
      <c r="D500" t="s">
        <v>12</v>
      </c>
      <c r="E500" t="s">
        <v>13</v>
      </c>
      <c r="F500" s="38">
        <v>3563</v>
      </c>
      <c r="G500" t="s">
        <v>14</v>
      </c>
      <c r="H500" t="s">
        <v>25</v>
      </c>
      <c r="I500" s="38">
        <v>1360.7</v>
      </c>
      <c r="J500">
        <v>8</v>
      </c>
      <c r="K500">
        <v>1</v>
      </c>
    </row>
    <row r="501" spans="1:11">
      <c r="A501">
        <v>500</v>
      </c>
      <c r="B501">
        <v>47</v>
      </c>
      <c r="C501" t="s">
        <v>16</v>
      </c>
      <c r="D501" t="s">
        <v>24</v>
      </c>
      <c r="E501" t="s">
        <v>13</v>
      </c>
      <c r="F501" s="38">
        <v>6657</v>
      </c>
      <c r="G501" t="s">
        <v>14</v>
      </c>
      <c r="H501" t="s">
        <v>21</v>
      </c>
      <c r="I501" s="38">
        <v>6653.7</v>
      </c>
      <c r="J501">
        <v>24</v>
      </c>
      <c r="K501">
        <v>0</v>
      </c>
    </row>
    <row r="502" hidden="1" spans="1:11">
      <c r="A502">
        <v>501</v>
      </c>
      <c r="B502">
        <v>47</v>
      </c>
      <c r="C502" t="s">
        <v>16</v>
      </c>
      <c r="D502" t="s">
        <v>17</v>
      </c>
      <c r="E502" t="s">
        <v>13</v>
      </c>
      <c r="F502" s="38">
        <v>3250</v>
      </c>
      <c r="G502" t="s">
        <v>14</v>
      </c>
      <c r="H502" t="s">
        <v>15</v>
      </c>
      <c r="I502" s="38">
        <v>14271.3</v>
      </c>
      <c r="J502">
        <v>36</v>
      </c>
      <c r="K502">
        <v>0</v>
      </c>
    </row>
    <row r="503" hidden="1" spans="1:11">
      <c r="A503">
        <v>502</v>
      </c>
      <c r="B503">
        <v>42</v>
      </c>
      <c r="C503" t="s">
        <v>16</v>
      </c>
      <c r="D503" t="s">
        <v>12</v>
      </c>
      <c r="E503" t="s">
        <v>13</v>
      </c>
      <c r="F503" s="38">
        <v>3868</v>
      </c>
      <c r="G503" t="s">
        <v>20</v>
      </c>
      <c r="H503" t="s">
        <v>19</v>
      </c>
      <c r="I503" s="38">
        <v>331.2</v>
      </c>
      <c r="J503">
        <v>6</v>
      </c>
      <c r="K503">
        <v>0</v>
      </c>
    </row>
    <row r="504" hidden="1" spans="1:11">
      <c r="A504">
        <v>503</v>
      </c>
      <c r="B504">
        <v>29</v>
      </c>
      <c r="C504" t="s">
        <v>16</v>
      </c>
      <c r="D504" t="s">
        <v>12</v>
      </c>
      <c r="E504" t="s">
        <v>13</v>
      </c>
      <c r="F504" s="38">
        <v>3855</v>
      </c>
      <c r="G504" t="s">
        <v>14</v>
      </c>
      <c r="H504" t="s">
        <v>25</v>
      </c>
      <c r="I504" s="38">
        <v>1281.6</v>
      </c>
      <c r="J504">
        <v>12</v>
      </c>
      <c r="K504">
        <v>0</v>
      </c>
    </row>
    <row r="505" spans="1:11">
      <c r="A505">
        <v>504</v>
      </c>
      <c r="B505">
        <v>44</v>
      </c>
      <c r="C505" t="s">
        <v>16</v>
      </c>
      <c r="D505" t="s">
        <v>17</v>
      </c>
      <c r="E505" t="s">
        <v>13</v>
      </c>
      <c r="F505" s="38">
        <v>6294</v>
      </c>
      <c r="G505" t="s">
        <v>20</v>
      </c>
      <c r="H505" t="s">
        <v>21</v>
      </c>
      <c r="I505" s="38">
        <v>5146.2</v>
      </c>
      <c r="J505">
        <v>12</v>
      </c>
      <c r="K505">
        <v>0</v>
      </c>
    </row>
    <row r="506" hidden="1" spans="1:11">
      <c r="A506">
        <v>505</v>
      </c>
      <c r="B506">
        <v>34</v>
      </c>
      <c r="C506" t="s">
        <v>16</v>
      </c>
      <c r="D506" t="s">
        <v>12</v>
      </c>
      <c r="E506" t="s">
        <v>13</v>
      </c>
      <c r="F506" s="38">
        <v>5374</v>
      </c>
      <c r="G506" t="s">
        <v>18</v>
      </c>
      <c r="H506" t="s">
        <v>21</v>
      </c>
      <c r="I506" s="38">
        <v>5167.8</v>
      </c>
      <c r="J506">
        <v>36</v>
      </c>
      <c r="K506">
        <v>0</v>
      </c>
    </row>
    <row r="507" hidden="1" spans="1:11">
      <c r="A507">
        <v>506</v>
      </c>
      <c r="B507">
        <v>29</v>
      </c>
      <c r="C507" t="s">
        <v>16</v>
      </c>
      <c r="D507" t="s">
        <v>24</v>
      </c>
      <c r="E507" t="s">
        <v>13</v>
      </c>
      <c r="F507" s="38">
        <v>2676</v>
      </c>
      <c r="G507" t="s">
        <v>14</v>
      </c>
      <c r="H507" t="s">
        <v>25</v>
      </c>
      <c r="I507" s="38">
        <v>531</v>
      </c>
      <c r="J507">
        <v>6</v>
      </c>
      <c r="K507">
        <v>0</v>
      </c>
    </row>
    <row r="508" hidden="1" spans="1:11">
      <c r="A508">
        <v>507</v>
      </c>
      <c r="B508">
        <v>38</v>
      </c>
      <c r="C508" t="s">
        <v>16</v>
      </c>
      <c r="D508" t="s">
        <v>17</v>
      </c>
      <c r="E508" t="s">
        <v>13</v>
      </c>
      <c r="F508" s="38">
        <v>2569</v>
      </c>
      <c r="G508" t="s">
        <v>18</v>
      </c>
      <c r="H508" t="s">
        <v>25</v>
      </c>
      <c r="I508" s="38">
        <v>8894.6</v>
      </c>
      <c r="J508">
        <v>36</v>
      </c>
      <c r="K508">
        <v>1</v>
      </c>
    </row>
    <row r="509" hidden="1" spans="1:11">
      <c r="A509">
        <v>508</v>
      </c>
      <c r="B509">
        <v>28</v>
      </c>
      <c r="C509" t="s">
        <v>16</v>
      </c>
      <c r="D509" t="s">
        <v>17</v>
      </c>
      <c r="E509" t="s">
        <v>13</v>
      </c>
      <c r="F509" s="38">
        <v>4322</v>
      </c>
      <c r="G509" t="s">
        <v>14</v>
      </c>
      <c r="H509" t="s">
        <v>21</v>
      </c>
      <c r="I509" s="38">
        <v>2128.5</v>
      </c>
      <c r="J509">
        <v>24</v>
      </c>
      <c r="K509">
        <v>1</v>
      </c>
    </row>
    <row r="510" hidden="1" spans="1:11">
      <c r="A510">
        <v>509</v>
      </c>
      <c r="B510">
        <v>30</v>
      </c>
      <c r="C510" t="s">
        <v>16</v>
      </c>
      <c r="D510" t="s">
        <v>12</v>
      </c>
      <c r="E510" t="s">
        <v>13</v>
      </c>
      <c r="F510" s="38">
        <v>5556</v>
      </c>
      <c r="G510" t="s">
        <v>20</v>
      </c>
      <c r="H510" t="s">
        <v>19</v>
      </c>
      <c r="I510" s="38">
        <v>1212.3</v>
      </c>
      <c r="J510">
        <v>10</v>
      </c>
      <c r="K510">
        <v>0</v>
      </c>
    </row>
    <row r="511" hidden="1" spans="1:11">
      <c r="A511">
        <v>510</v>
      </c>
      <c r="B511">
        <v>25</v>
      </c>
      <c r="C511" t="s">
        <v>11</v>
      </c>
      <c r="D511" t="s">
        <v>12</v>
      </c>
      <c r="E511" t="s">
        <v>22</v>
      </c>
      <c r="F511" s="38">
        <v>3317</v>
      </c>
      <c r="G511" t="s">
        <v>18</v>
      </c>
      <c r="H511" t="s">
        <v>25</v>
      </c>
      <c r="I511" s="38">
        <v>1397.7</v>
      </c>
      <c r="J511">
        <v>24</v>
      </c>
      <c r="K511">
        <v>0</v>
      </c>
    </row>
    <row r="512" hidden="1" spans="1:11">
      <c r="A512">
        <v>511</v>
      </c>
      <c r="B512">
        <v>55</v>
      </c>
      <c r="C512" t="s">
        <v>16</v>
      </c>
      <c r="D512" t="s">
        <v>12</v>
      </c>
      <c r="E512" t="s">
        <v>13</v>
      </c>
      <c r="F512" s="38">
        <v>2166</v>
      </c>
      <c r="G512" t="s">
        <v>26</v>
      </c>
      <c r="H512" t="s">
        <v>25</v>
      </c>
      <c r="I512" s="38">
        <v>1663.2</v>
      </c>
      <c r="J512">
        <v>15</v>
      </c>
      <c r="K512">
        <v>1</v>
      </c>
    </row>
    <row r="513" hidden="1" spans="1:11">
      <c r="A513">
        <v>512</v>
      </c>
      <c r="B513">
        <v>25</v>
      </c>
      <c r="C513" t="s">
        <v>16</v>
      </c>
      <c r="D513" t="s">
        <v>12</v>
      </c>
      <c r="E513" t="s">
        <v>13</v>
      </c>
      <c r="F513" s="38">
        <v>1977</v>
      </c>
      <c r="G513" t="s">
        <v>20</v>
      </c>
      <c r="H513" t="s">
        <v>19</v>
      </c>
      <c r="I513" s="38">
        <v>1299.6</v>
      </c>
      <c r="J513">
        <v>15</v>
      </c>
      <c r="K513">
        <v>0</v>
      </c>
    </row>
    <row r="514" hidden="1" spans="1:11">
      <c r="A514">
        <v>513</v>
      </c>
      <c r="B514">
        <v>36</v>
      </c>
      <c r="C514" t="s">
        <v>16</v>
      </c>
      <c r="D514" t="s">
        <v>24</v>
      </c>
      <c r="E514" t="s">
        <v>22</v>
      </c>
      <c r="F514" s="38">
        <v>3920</v>
      </c>
      <c r="G514" t="s">
        <v>14</v>
      </c>
      <c r="H514" t="s">
        <v>15</v>
      </c>
      <c r="I514" s="38">
        <v>752.4</v>
      </c>
      <c r="J514">
        <v>12</v>
      </c>
      <c r="K514">
        <v>1</v>
      </c>
    </row>
    <row r="515" hidden="1" spans="1:11">
      <c r="A515">
        <v>514</v>
      </c>
      <c r="B515">
        <v>63</v>
      </c>
      <c r="C515" t="s">
        <v>11</v>
      </c>
      <c r="D515" t="s">
        <v>24</v>
      </c>
      <c r="E515" t="s">
        <v>13</v>
      </c>
      <c r="F515" s="38">
        <v>4520</v>
      </c>
      <c r="G515" t="s">
        <v>18</v>
      </c>
      <c r="H515" t="s">
        <v>21</v>
      </c>
      <c r="I515" s="38">
        <v>1038.6</v>
      </c>
      <c r="J515">
        <v>11</v>
      </c>
      <c r="K515">
        <v>0</v>
      </c>
    </row>
    <row r="516" hidden="1" spans="1:11">
      <c r="A516">
        <v>515</v>
      </c>
      <c r="B516">
        <v>41</v>
      </c>
      <c r="C516" t="s">
        <v>11</v>
      </c>
      <c r="D516" t="s">
        <v>12</v>
      </c>
      <c r="E516" t="s">
        <v>13</v>
      </c>
      <c r="F516" s="38">
        <v>3846</v>
      </c>
      <c r="G516" t="s">
        <v>26</v>
      </c>
      <c r="H516" t="s">
        <v>21</v>
      </c>
      <c r="I516" s="38">
        <v>1158.3</v>
      </c>
      <c r="J516">
        <v>24</v>
      </c>
      <c r="K516">
        <v>0</v>
      </c>
    </row>
    <row r="517" hidden="1" spans="1:11">
      <c r="A517">
        <v>516</v>
      </c>
      <c r="B517">
        <v>35</v>
      </c>
      <c r="C517" t="s">
        <v>16</v>
      </c>
      <c r="D517" t="s">
        <v>17</v>
      </c>
      <c r="E517" t="s">
        <v>13</v>
      </c>
      <c r="F517" s="38">
        <v>3422</v>
      </c>
      <c r="G517" t="s">
        <v>26</v>
      </c>
      <c r="H517" t="s">
        <v>21</v>
      </c>
      <c r="I517" s="38">
        <v>566.1</v>
      </c>
      <c r="J517">
        <v>18</v>
      </c>
      <c r="K517">
        <v>0</v>
      </c>
    </row>
    <row r="518" hidden="1" spans="1:11">
      <c r="A518">
        <v>517</v>
      </c>
      <c r="B518">
        <v>23</v>
      </c>
      <c r="C518" t="s">
        <v>11</v>
      </c>
      <c r="D518" t="s">
        <v>17</v>
      </c>
      <c r="E518" t="s">
        <v>22</v>
      </c>
      <c r="F518" s="38">
        <v>3024</v>
      </c>
      <c r="G518" t="s">
        <v>14</v>
      </c>
      <c r="H518" t="s">
        <v>25</v>
      </c>
      <c r="I518" s="38">
        <v>1955.8</v>
      </c>
      <c r="J518">
        <v>15</v>
      </c>
      <c r="K518">
        <v>1</v>
      </c>
    </row>
    <row r="519" hidden="1" spans="1:11">
      <c r="A519">
        <v>518</v>
      </c>
      <c r="B519">
        <v>44</v>
      </c>
      <c r="C519" t="s">
        <v>11</v>
      </c>
      <c r="D519" t="s">
        <v>12</v>
      </c>
      <c r="E519" t="s">
        <v>13</v>
      </c>
      <c r="F519" s="38">
        <v>4773</v>
      </c>
      <c r="G519" t="s">
        <v>26</v>
      </c>
      <c r="H519" t="s">
        <v>21</v>
      </c>
      <c r="I519" s="38">
        <v>6910.2</v>
      </c>
      <c r="J519">
        <v>36</v>
      </c>
      <c r="K519">
        <v>0</v>
      </c>
    </row>
    <row r="520" hidden="1" spans="1:11">
      <c r="A520">
        <v>519</v>
      </c>
      <c r="B520">
        <v>28</v>
      </c>
      <c r="C520" t="s">
        <v>11</v>
      </c>
      <c r="D520" t="s">
        <v>12</v>
      </c>
      <c r="E520" t="s">
        <v>13</v>
      </c>
      <c r="F520" s="38">
        <v>3241</v>
      </c>
      <c r="G520" t="s">
        <v>20</v>
      </c>
      <c r="H520" t="s">
        <v>15</v>
      </c>
      <c r="I520" s="38">
        <v>6985</v>
      </c>
      <c r="J520">
        <v>30</v>
      </c>
      <c r="K520">
        <v>1</v>
      </c>
    </row>
    <row r="521" hidden="1" spans="1:11">
      <c r="A521">
        <v>520</v>
      </c>
      <c r="B521">
        <v>22</v>
      </c>
      <c r="C521" t="s">
        <v>16</v>
      </c>
      <c r="D521" t="s">
        <v>12</v>
      </c>
      <c r="E521" t="s">
        <v>13</v>
      </c>
      <c r="F521" s="38">
        <v>3063</v>
      </c>
      <c r="G521" t="s">
        <v>14</v>
      </c>
      <c r="H521" t="s">
        <v>15</v>
      </c>
      <c r="I521" s="38">
        <v>10198.1</v>
      </c>
      <c r="J521">
        <v>36</v>
      </c>
      <c r="K521">
        <v>1</v>
      </c>
    </row>
    <row r="522" hidden="1" spans="1:11">
      <c r="A522">
        <v>521</v>
      </c>
      <c r="B522">
        <v>23</v>
      </c>
      <c r="C522" t="s">
        <v>16</v>
      </c>
      <c r="D522" t="s">
        <v>12</v>
      </c>
      <c r="E522" t="s">
        <v>13</v>
      </c>
      <c r="F522" s="38">
        <v>4151</v>
      </c>
      <c r="G522" t="s">
        <v>14</v>
      </c>
      <c r="H522" t="s">
        <v>19</v>
      </c>
      <c r="I522" s="38">
        <v>4631</v>
      </c>
      <c r="J522">
        <v>36</v>
      </c>
      <c r="K522">
        <v>1</v>
      </c>
    </row>
    <row r="523" spans="1:11">
      <c r="A523">
        <v>522</v>
      </c>
      <c r="B523">
        <v>31</v>
      </c>
      <c r="C523" t="s">
        <v>11</v>
      </c>
      <c r="D523" t="s">
        <v>12</v>
      </c>
      <c r="E523" t="s">
        <v>22</v>
      </c>
      <c r="F523" s="38">
        <v>6317</v>
      </c>
      <c r="G523" t="s">
        <v>14</v>
      </c>
      <c r="H523" t="s">
        <v>15</v>
      </c>
      <c r="I523" s="38">
        <v>1262.7</v>
      </c>
      <c r="J523">
        <v>15</v>
      </c>
      <c r="K523">
        <v>0</v>
      </c>
    </row>
    <row r="524" hidden="1" spans="1:11">
      <c r="A524">
        <v>523</v>
      </c>
      <c r="B524">
        <v>54</v>
      </c>
      <c r="C524" t="s">
        <v>16</v>
      </c>
      <c r="D524" t="s">
        <v>12</v>
      </c>
      <c r="E524" t="s">
        <v>22</v>
      </c>
      <c r="F524" s="38">
        <v>3677</v>
      </c>
      <c r="G524" t="s">
        <v>20</v>
      </c>
      <c r="H524" t="s">
        <v>21</v>
      </c>
      <c r="I524" s="38">
        <v>5220.9</v>
      </c>
      <c r="J524">
        <v>12</v>
      </c>
      <c r="K524">
        <v>0</v>
      </c>
    </row>
    <row r="525" hidden="1" spans="1:11">
      <c r="A525">
        <v>524</v>
      </c>
      <c r="B525">
        <v>40</v>
      </c>
      <c r="C525" t="s">
        <v>16</v>
      </c>
      <c r="D525" t="s">
        <v>17</v>
      </c>
      <c r="E525" t="s">
        <v>13</v>
      </c>
      <c r="F525" s="38">
        <v>5806</v>
      </c>
      <c r="G525" t="s">
        <v>26</v>
      </c>
      <c r="H525" t="s">
        <v>25</v>
      </c>
      <c r="I525" s="38">
        <v>2129.4</v>
      </c>
      <c r="J525">
        <v>12</v>
      </c>
      <c r="K525">
        <v>0</v>
      </c>
    </row>
    <row r="526" hidden="1" spans="1:11">
      <c r="A526">
        <v>525</v>
      </c>
      <c r="B526">
        <v>39</v>
      </c>
      <c r="C526" t="s">
        <v>16</v>
      </c>
      <c r="D526" t="s">
        <v>12</v>
      </c>
      <c r="E526" t="s">
        <v>13</v>
      </c>
      <c r="F526" s="38">
        <v>2383</v>
      </c>
      <c r="G526" t="s">
        <v>14</v>
      </c>
      <c r="H526" t="s">
        <v>21</v>
      </c>
      <c r="I526" s="38">
        <v>2111.4</v>
      </c>
      <c r="J526">
        <v>24</v>
      </c>
      <c r="K526">
        <v>0</v>
      </c>
    </row>
    <row r="527" hidden="1" spans="1:11">
      <c r="A527">
        <v>526</v>
      </c>
      <c r="B527">
        <v>55</v>
      </c>
      <c r="C527" t="s">
        <v>16</v>
      </c>
      <c r="D527" t="s">
        <v>12</v>
      </c>
      <c r="E527" t="s">
        <v>13</v>
      </c>
      <c r="F527" s="38">
        <v>5213</v>
      </c>
      <c r="G527" t="s">
        <v>14</v>
      </c>
      <c r="H527" t="s">
        <v>21</v>
      </c>
      <c r="I527" s="38">
        <v>1416.6</v>
      </c>
      <c r="J527">
        <v>12</v>
      </c>
      <c r="K527">
        <v>0</v>
      </c>
    </row>
    <row r="528" hidden="1" spans="1:11">
      <c r="A528">
        <v>527</v>
      </c>
      <c r="B528">
        <v>32</v>
      </c>
      <c r="C528" t="s">
        <v>11</v>
      </c>
      <c r="D528" t="s">
        <v>12</v>
      </c>
      <c r="E528" t="s">
        <v>13</v>
      </c>
      <c r="F528" s="38">
        <v>2206</v>
      </c>
      <c r="G528" t="s">
        <v>14</v>
      </c>
      <c r="H528" t="s">
        <v>21</v>
      </c>
      <c r="I528" s="38">
        <v>3270.6</v>
      </c>
      <c r="J528">
        <v>18</v>
      </c>
      <c r="K528">
        <v>0</v>
      </c>
    </row>
    <row r="529" hidden="1" spans="1:11">
      <c r="A529">
        <v>528</v>
      </c>
      <c r="B529">
        <v>24</v>
      </c>
      <c r="C529" t="s">
        <v>11</v>
      </c>
      <c r="D529" t="s">
        <v>24</v>
      </c>
      <c r="E529" t="s">
        <v>22</v>
      </c>
      <c r="F529" s="38">
        <v>2165</v>
      </c>
      <c r="G529" t="s">
        <v>14</v>
      </c>
      <c r="H529" t="s">
        <v>21</v>
      </c>
      <c r="I529" s="38">
        <v>1132.2</v>
      </c>
      <c r="J529">
        <v>12</v>
      </c>
      <c r="K529">
        <v>0</v>
      </c>
    </row>
    <row r="530" hidden="1" spans="1:11">
      <c r="A530">
        <v>529</v>
      </c>
      <c r="B530">
        <v>43</v>
      </c>
      <c r="C530" t="s">
        <v>16</v>
      </c>
      <c r="D530" t="s">
        <v>12</v>
      </c>
      <c r="E530" t="s">
        <v>13</v>
      </c>
      <c r="F530" s="38">
        <v>5370</v>
      </c>
      <c r="G530" t="s">
        <v>14</v>
      </c>
      <c r="H530" t="s">
        <v>15</v>
      </c>
      <c r="I530" s="38">
        <v>2269.8</v>
      </c>
      <c r="J530">
        <v>30</v>
      </c>
      <c r="K530">
        <v>0</v>
      </c>
    </row>
    <row r="531" hidden="1" spans="1:11">
      <c r="A531">
        <v>530</v>
      </c>
      <c r="B531">
        <v>75</v>
      </c>
      <c r="C531" t="s">
        <v>16</v>
      </c>
      <c r="D531" t="s">
        <v>17</v>
      </c>
      <c r="E531" t="s">
        <v>23</v>
      </c>
      <c r="F531" s="38">
        <v>5781</v>
      </c>
      <c r="G531" t="s">
        <v>14</v>
      </c>
      <c r="H531" t="s">
        <v>25</v>
      </c>
      <c r="I531" s="38">
        <v>1057.5</v>
      </c>
      <c r="J531">
        <v>16</v>
      </c>
      <c r="K531">
        <v>0</v>
      </c>
    </row>
    <row r="532" hidden="1" spans="1:11">
      <c r="A532">
        <v>531</v>
      </c>
      <c r="B532">
        <v>26</v>
      </c>
      <c r="C532" t="s">
        <v>16</v>
      </c>
      <c r="D532" t="s">
        <v>12</v>
      </c>
      <c r="E532" t="s">
        <v>13</v>
      </c>
      <c r="F532" s="38">
        <v>3513</v>
      </c>
      <c r="G532" t="s">
        <v>14</v>
      </c>
      <c r="H532" t="s">
        <v>21</v>
      </c>
      <c r="I532" s="38">
        <v>1620</v>
      </c>
      <c r="J532">
        <v>18</v>
      </c>
      <c r="K532">
        <v>0</v>
      </c>
    </row>
    <row r="533" hidden="1" spans="1:11">
      <c r="A533">
        <v>532</v>
      </c>
      <c r="B533">
        <v>60</v>
      </c>
      <c r="C533" t="s">
        <v>16</v>
      </c>
      <c r="D533" t="s">
        <v>17</v>
      </c>
      <c r="E533" t="s">
        <v>13</v>
      </c>
      <c r="F533" s="38">
        <v>1984</v>
      </c>
      <c r="G533" t="s">
        <v>18</v>
      </c>
      <c r="H533" t="s">
        <v>15</v>
      </c>
      <c r="I533" s="38">
        <v>1685.2</v>
      </c>
      <c r="J533">
        <v>12</v>
      </c>
      <c r="K533">
        <v>1</v>
      </c>
    </row>
    <row r="534" hidden="1" spans="1:11">
      <c r="A534">
        <v>533</v>
      </c>
      <c r="B534">
        <v>30</v>
      </c>
      <c r="C534" t="s">
        <v>16</v>
      </c>
      <c r="D534" t="s">
        <v>24</v>
      </c>
      <c r="E534" t="s">
        <v>22</v>
      </c>
      <c r="F534" s="38">
        <v>2003</v>
      </c>
      <c r="G534" t="s">
        <v>14</v>
      </c>
      <c r="H534" t="s">
        <v>25</v>
      </c>
      <c r="I534" s="38">
        <v>2622.4</v>
      </c>
      <c r="J534">
        <v>36</v>
      </c>
      <c r="K534">
        <v>1</v>
      </c>
    </row>
    <row r="535" spans="1:11">
      <c r="A535">
        <v>534</v>
      </c>
      <c r="B535">
        <v>45</v>
      </c>
      <c r="C535" t="s">
        <v>11</v>
      </c>
      <c r="D535" t="s">
        <v>24</v>
      </c>
      <c r="E535" t="s">
        <v>22</v>
      </c>
      <c r="F535" s="38">
        <v>6115</v>
      </c>
      <c r="G535" t="s">
        <v>20</v>
      </c>
      <c r="H535" t="s">
        <v>21</v>
      </c>
      <c r="I535" s="38">
        <v>1119.6</v>
      </c>
      <c r="J535">
        <v>9</v>
      </c>
      <c r="K535">
        <v>0</v>
      </c>
    </row>
    <row r="536" hidden="1" spans="1:11">
      <c r="A536">
        <v>535</v>
      </c>
      <c r="B536">
        <v>30</v>
      </c>
      <c r="C536" t="s">
        <v>16</v>
      </c>
      <c r="D536" t="s">
        <v>24</v>
      </c>
      <c r="E536" t="s">
        <v>13</v>
      </c>
      <c r="F536" s="38">
        <v>2285</v>
      </c>
      <c r="G536" t="s">
        <v>20</v>
      </c>
      <c r="H536" t="s">
        <v>15</v>
      </c>
      <c r="I536" s="38">
        <v>799.7</v>
      </c>
      <c r="J536">
        <v>12</v>
      </c>
      <c r="K536">
        <v>1</v>
      </c>
    </row>
    <row r="537" hidden="1" spans="1:11">
      <c r="A537">
        <v>536</v>
      </c>
      <c r="B537">
        <v>44</v>
      </c>
      <c r="C537" t="s">
        <v>16</v>
      </c>
      <c r="D537" t="s">
        <v>24</v>
      </c>
      <c r="E537" t="s">
        <v>13</v>
      </c>
      <c r="F537" s="38">
        <v>2983</v>
      </c>
      <c r="G537" t="s">
        <v>14</v>
      </c>
      <c r="H537" t="s">
        <v>15</v>
      </c>
      <c r="I537" s="38">
        <v>3545.1</v>
      </c>
      <c r="J537">
        <v>11</v>
      </c>
      <c r="K537">
        <v>0</v>
      </c>
    </row>
    <row r="538" hidden="1" spans="1:11">
      <c r="A538">
        <v>537</v>
      </c>
      <c r="B538">
        <v>22</v>
      </c>
      <c r="C538" t="s">
        <v>11</v>
      </c>
      <c r="D538" t="s">
        <v>12</v>
      </c>
      <c r="E538" t="s">
        <v>22</v>
      </c>
      <c r="F538" s="38">
        <v>4892</v>
      </c>
      <c r="G538" t="s">
        <v>20</v>
      </c>
      <c r="H538" t="s">
        <v>21</v>
      </c>
      <c r="I538" s="38">
        <v>4207.5</v>
      </c>
      <c r="J538">
        <v>12</v>
      </c>
      <c r="K538">
        <v>0</v>
      </c>
    </row>
    <row r="539" hidden="1" spans="1:11">
      <c r="A539">
        <v>538</v>
      </c>
      <c r="B539">
        <v>48</v>
      </c>
      <c r="C539" t="s">
        <v>16</v>
      </c>
      <c r="D539" t="s">
        <v>17</v>
      </c>
      <c r="E539" t="s">
        <v>13</v>
      </c>
      <c r="F539" s="38">
        <v>1839</v>
      </c>
      <c r="G539" t="s">
        <v>20</v>
      </c>
      <c r="H539" t="s">
        <v>19</v>
      </c>
      <c r="I539" s="38">
        <v>14229.6</v>
      </c>
      <c r="J539">
        <v>12</v>
      </c>
      <c r="K539">
        <v>1</v>
      </c>
    </row>
    <row r="540" hidden="1" spans="1:11">
      <c r="A540">
        <v>539</v>
      </c>
      <c r="B540">
        <v>67</v>
      </c>
      <c r="C540" t="s">
        <v>16</v>
      </c>
      <c r="D540" t="s">
        <v>24</v>
      </c>
      <c r="E540" t="s">
        <v>13</v>
      </c>
      <c r="F540" s="38">
        <v>2995</v>
      </c>
      <c r="G540" t="s">
        <v>14</v>
      </c>
      <c r="H540" t="s">
        <v>21</v>
      </c>
      <c r="I540" s="38">
        <v>1129.5</v>
      </c>
      <c r="J540">
        <v>12</v>
      </c>
      <c r="K540">
        <v>0</v>
      </c>
    </row>
    <row r="541" hidden="1" spans="1:11">
      <c r="A541">
        <v>540</v>
      </c>
      <c r="B541">
        <v>20</v>
      </c>
      <c r="C541" t="s">
        <v>11</v>
      </c>
      <c r="D541" t="s">
        <v>12</v>
      </c>
      <c r="E541" t="s">
        <v>22</v>
      </c>
      <c r="F541" s="38">
        <v>3052</v>
      </c>
      <c r="G541" t="s">
        <v>18</v>
      </c>
      <c r="H541" t="s">
        <v>15</v>
      </c>
      <c r="I541" s="38">
        <v>2820.4</v>
      </c>
      <c r="J541">
        <v>12</v>
      </c>
      <c r="K541">
        <v>1</v>
      </c>
    </row>
    <row r="542" hidden="1" spans="1:11">
      <c r="A542">
        <v>541</v>
      </c>
      <c r="B542">
        <v>30</v>
      </c>
      <c r="C542" t="s">
        <v>11</v>
      </c>
      <c r="D542" t="s">
        <v>17</v>
      </c>
      <c r="E542" t="s">
        <v>23</v>
      </c>
      <c r="F542" s="38">
        <v>2011</v>
      </c>
      <c r="G542" t="s">
        <v>18</v>
      </c>
      <c r="H542" t="s">
        <v>21</v>
      </c>
      <c r="I542" s="38">
        <v>876.7</v>
      </c>
      <c r="J542">
        <v>12</v>
      </c>
      <c r="K542">
        <v>1</v>
      </c>
    </row>
    <row r="543" spans="1:11">
      <c r="A543">
        <v>542</v>
      </c>
      <c r="B543">
        <v>31</v>
      </c>
      <c r="C543" t="s">
        <v>11</v>
      </c>
      <c r="D543" t="s">
        <v>12</v>
      </c>
      <c r="E543" t="s">
        <v>13</v>
      </c>
      <c r="F543" s="38">
        <v>6379</v>
      </c>
      <c r="G543" t="s">
        <v>14</v>
      </c>
      <c r="H543" t="s">
        <v>15</v>
      </c>
      <c r="I543" s="38">
        <v>3294</v>
      </c>
      <c r="J543">
        <v>24</v>
      </c>
      <c r="K543">
        <v>0</v>
      </c>
    </row>
    <row r="544" hidden="1" spans="1:11">
      <c r="A544">
        <v>543</v>
      </c>
      <c r="B544">
        <v>32</v>
      </c>
      <c r="C544" t="s">
        <v>11</v>
      </c>
      <c r="D544" t="s">
        <v>12</v>
      </c>
      <c r="E544" t="s">
        <v>13</v>
      </c>
      <c r="F544" s="38">
        <v>3177</v>
      </c>
      <c r="G544" t="s">
        <v>14</v>
      </c>
      <c r="H544" t="s">
        <v>15</v>
      </c>
      <c r="I544" s="38">
        <v>1703.7</v>
      </c>
      <c r="J544">
        <v>12</v>
      </c>
      <c r="K544">
        <v>0</v>
      </c>
    </row>
    <row r="545" hidden="1" spans="1:11">
      <c r="A545">
        <v>544</v>
      </c>
      <c r="B545">
        <v>30</v>
      </c>
      <c r="C545" t="s">
        <v>16</v>
      </c>
      <c r="D545" t="s">
        <v>12</v>
      </c>
      <c r="E545" t="s">
        <v>22</v>
      </c>
      <c r="F545" s="38">
        <v>3311</v>
      </c>
      <c r="G545" t="s">
        <v>14</v>
      </c>
      <c r="H545" t="s">
        <v>15</v>
      </c>
      <c r="I545" s="38">
        <v>2458.5</v>
      </c>
      <c r="J545">
        <v>20</v>
      </c>
      <c r="K545">
        <v>1</v>
      </c>
    </row>
    <row r="546" hidden="1" spans="1:11">
      <c r="A546">
        <v>545</v>
      </c>
      <c r="B546">
        <v>40</v>
      </c>
      <c r="C546" t="s">
        <v>16</v>
      </c>
      <c r="D546" t="s">
        <v>12</v>
      </c>
      <c r="E546" t="s">
        <v>13</v>
      </c>
      <c r="F546" s="38">
        <v>5466</v>
      </c>
      <c r="G546" t="s">
        <v>14</v>
      </c>
      <c r="H546" t="s">
        <v>25</v>
      </c>
      <c r="I546" s="38">
        <v>2103.3</v>
      </c>
      <c r="J546">
        <v>36</v>
      </c>
      <c r="K546">
        <v>0</v>
      </c>
    </row>
    <row r="547" hidden="1" spans="1:11">
      <c r="A547">
        <v>546</v>
      </c>
      <c r="B547">
        <v>26</v>
      </c>
      <c r="C547" t="s">
        <v>16</v>
      </c>
      <c r="D547" t="s">
        <v>12</v>
      </c>
      <c r="E547" t="s">
        <v>22</v>
      </c>
      <c r="F547" s="38">
        <v>1732</v>
      </c>
      <c r="G547" t="s">
        <v>20</v>
      </c>
      <c r="H547" t="s">
        <v>15</v>
      </c>
      <c r="I547" s="38">
        <v>5568.3</v>
      </c>
      <c r="J547">
        <v>30</v>
      </c>
      <c r="K547">
        <v>0</v>
      </c>
    </row>
    <row r="548" hidden="1" spans="1:11">
      <c r="A548">
        <v>547</v>
      </c>
      <c r="B548">
        <v>22</v>
      </c>
      <c r="C548" t="s">
        <v>11</v>
      </c>
      <c r="D548" t="s">
        <v>12</v>
      </c>
      <c r="E548" t="s">
        <v>22</v>
      </c>
      <c r="F548" s="38">
        <v>5210</v>
      </c>
      <c r="G548" t="s">
        <v>26</v>
      </c>
      <c r="H548" t="s">
        <v>21</v>
      </c>
      <c r="I548" s="38">
        <v>2867.4</v>
      </c>
      <c r="J548">
        <v>15</v>
      </c>
      <c r="K548">
        <v>0</v>
      </c>
    </row>
    <row r="549" spans="1:11">
      <c r="A549">
        <v>548</v>
      </c>
      <c r="B549">
        <v>35</v>
      </c>
      <c r="C549" t="s">
        <v>16</v>
      </c>
      <c r="D549" t="s">
        <v>12</v>
      </c>
      <c r="E549" t="s">
        <v>13</v>
      </c>
      <c r="F549" s="38">
        <v>6148</v>
      </c>
      <c r="G549" t="s">
        <v>14</v>
      </c>
      <c r="H549" t="s">
        <v>21</v>
      </c>
      <c r="I549" s="38">
        <v>2427.3</v>
      </c>
      <c r="J549">
        <v>9</v>
      </c>
      <c r="K549">
        <v>0</v>
      </c>
    </row>
    <row r="550" spans="1:11">
      <c r="A550">
        <v>549</v>
      </c>
      <c r="B550">
        <v>42</v>
      </c>
      <c r="C550" t="s">
        <v>16</v>
      </c>
      <c r="D550" t="s">
        <v>24</v>
      </c>
      <c r="E550" t="s">
        <v>13</v>
      </c>
      <c r="F550" s="38">
        <v>6524</v>
      </c>
      <c r="G550" t="s">
        <v>14</v>
      </c>
      <c r="H550" t="s">
        <v>15</v>
      </c>
      <c r="I550" s="38">
        <v>1953.9</v>
      </c>
      <c r="J550">
        <v>12</v>
      </c>
      <c r="K550">
        <v>0</v>
      </c>
    </row>
    <row r="551" hidden="1" spans="1:11">
      <c r="A551">
        <v>550</v>
      </c>
      <c r="B551">
        <v>37</v>
      </c>
      <c r="C551" t="s">
        <v>16</v>
      </c>
      <c r="D551" t="s">
        <v>24</v>
      </c>
      <c r="E551" t="s">
        <v>13</v>
      </c>
      <c r="F551" s="38">
        <v>2655</v>
      </c>
      <c r="G551" t="s">
        <v>14</v>
      </c>
      <c r="H551" t="s">
        <v>21</v>
      </c>
      <c r="I551" s="38">
        <v>790.9</v>
      </c>
      <c r="J551">
        <v>12</v>
      </c>
      <c r="K551">
        <v>1</v>
      </c>
    </row>
    <row r="552" hidden="1" spans="1:11">
      <c r="A552">
        <v>551</v>
      </c>
      <c r="B552">
        <v>24</v>
      </c>
      <c r="C552" t="s">
        <v>16</v>
      </c>
      <c r="D552" t="s">
        <v>12</v>
      </c>
      <c r="E552" t="s">
        <v>13</v>
      </c>
      <c r="F552" s="38">
        <v>1964</v>
      </c>
      <c r="G552" t="s">
        <v>14</v>
      </c>
      <c r="H552" t="s">
        <v>15</v>
      </c>
      <c r="I552" s="38">
        <v>6597.8</v>
      </c>
      <c r="J552">
        <v>40</v>
      </c>
      <c r="K552">
        <v>1</v>
      </c>
    </row>
    <row r="553" hidden="1" spans="1:11">
      <c r="A553">
        <v>552</v>
      </c>
      <c r="B553">
        <v>29</v>
      </c>
      <c r="C553" t="s">
        <v>16</v>
      </c>
      <c r="D553" t="s">
        <v>12</v>
      </c>
      <c r="E553" t="s">
        <v>13</v>
      </c>
      <c r="F553" s="38">
        <v>3579</v>
      </c>
      <c r="G553" t="s">
        <v>14</v>
      </c>
      <c r="H553" t="s">
        <v>19</v>
      </c>
      <c r="I553" s="38">
        <v>1197</v>
      </c>
      <c r="J553">
        <v>12</v>
      </c>
      <c r="K553">
        <v>0</v>
      </c>
    </row>
    <row r="554" hidden="1" spans="1:11">
      <c r="A554">
        <v>553</v>
      </c>
      <c r="B554">
        <v>18</v>
      </c>
      <c r="C554" t="s">
        <v>11</v>
      </c>
      <c r="D554" t="s">
        <v>12</v>
      </c>
      <c r="E554" t="s">
        <v>22</v>
      </c>
      <c r="F554" s="38">
        <v>3643</v>
      </c>
      <c r="G554" t="s">
        <v>14</v>
      </c>
      <c r="H554" t="s">
        <v>15</v>
      </c>
      <c r="I554" s="38">
        <v>2242.9</v>
      </c>
      <c r="J554">
        <v>18</v>
      </c>
      <c r="K554">
        <v>1</v>
      </c>
    </row>
    <row r="555" hidden="1" spans="1:11">
      <c r="A555">
        <v>554</v>
      </c>
      <c r="B555">
        <v>66</v>
      </c>
      <c r="C555" t="s">
        <v>16</v>
      </c>
      <c r="D555" t="s">
        <v>12</v>
      </c>
      <c r="E555" t="s">
        <v>13</v>
      </c>
      <c r="F555" s="38">
        <v>1988</v>
      </c>
      <c r="G555" t="s">
        <v>20</v>
      </c>
      <c r="H555" t="s">
        <v>21</v>
      </c>
      <c r="I555" s="38">
        <v>3360.6</v>
      </c>
      <c r="J555">
        <v>30</v>
      </c>
      <c r="K555">
        <v>0</v>
      </c>
    </row>
    <row r="556" hidden="1" spans="1:11">
      <c r="A556">
        <v>555</v>
      </c>
      <c r="B556">
        <v>26</v>
      </c>
      <c r="C556" t="s">
        <v>16</v>
      </c>
      <c r="D556" t="s">
        <v>12</v>
      </c>
      <c r="E556" t="s">
        <v>13</v>
      </c>
      <c r="F556" s="38">
        <v>3334</v>
      </c>
      <c r="G556" t="s">
        <v>14</v>
      </c>
      <c r="H556" t="s">
        <v>19</v>
      </c>
      <c r="I556" s="38">
        <v>2714.4</v>
      </c>
      <c r="J556">
        <v>12</v>
      </c>
      <c r="K556">
        <v>0</v>
      </c>
    </row>
    <row r="557" hidden="1" spans="1:11">
      <c r="A557">
        <v>556</v>
      </c>
      <c r="B557">
        <v>32</v>
      </c>
      <c r="C557" t="s">
        <v>16</v>
      </c>
      <c r="D557" t="s">
        <v>17</v>
      </c>
      <c r="E557" t="s">
        <v>22</v>
      </c>
      <c r="F557" s="38">
        <v>4335</v>
      </c>
      <c r="G557" t="s">
        <v>18</v>
      </c>
      <c r="H557" t="s">
        <v>21</v>
      </c>
      <c r="I557" s="38">
        <v>1710.9</v>
      </c>
      <c r="J557">
        <v>24</v>
      </c>
      <c r="K557">
        <v>0</v>
      </c>
    </row>
    <row r="558" hidden="1" spans="1:11">
      <c r="A558">
        <v>557</v>
      </c>
      <c r="B558">
        <v>25</v>
      </c>
      <c r="C558" t="s">
        <v>16</v>
      </c>
      <c r="D558" t="s">
        <v>12</v>
      </c>
      <c r="E558" t="s">
        <v>13</v>
      </c>
      <c r="F558" s="38">
        <v>2192</v>
      </c>
      <c r="G558" t="s">
        <v>14</v>
      </c>
      <c r="H558" t="s">
        <v>25</v>
      </c>
      <c r="I558" s="38">
        <v>793.8</v>
      </c>
      <c r="J558">
        <v>13</v>
      </c>
      <c r="K558">
        <v>0</v>
      </c>
    </row>
    <row r="559" hidden="1" spans="1:11">
      <c r="A559">
        <v>558</v>
      </c>
      <c r="B559">
        <v>26</v>
      </c>
      <c r="C559" t="s">
        <v>16</v>
      </c>
      <c r="D559" t="s">
        <v>12</v>
      </c>
      <c r="E559" t="s">
        <v>13</v>
      </c>
      <c r="F559" s="38">
        <v>3376</v>
      </c>
      <c r="G559" t="s">
        <v>18</v>
      </c>
      <c r="H559" t="s">
        <v>25</v>
      </c>
      <c r="I559" s="38">
        <v>2725.2</v>
      </c>
      <c r="J559">
        <v>15</v>
      </c>
      <c r="K559">
        <v>0</v>
      </c>
    </row>
    <row r="560" hidden="1" spans="1:11">
      <c r="A560">
        <v>559</v>
      </c>
      <c r="B560">
        <v>26</v>
      </c>
      <c r="C560" t="s">
        <v>16</v>
      </c>
      <c r="D560" t="s">
        <v>17</v>
      </c>
      <c r="E560" t="s">
        <v>13</v>
      </c>
      <c r="F560" s="38">
        <v>1334</v>
      </c>
      <c r="G560" t="s">
        <v>14</v>
      </c>
      <c r="H560" t="s">
        <v>25</v>
      </c>
      <c r="I560" s="38">
        <v>12460.8</v>
      </c>
      <c r="J560">
        <v>24</v>
      </c>
      <c r="K560">
        <v>1</v>
      </c>
    </row>
    <row r="561" hidden="1" spans="1:11">
      <c r="A561">
        <v>560</v>
      </c>
      <c r="B561">
        <v>37</v>
      </c>
      <c r="C561" t="s">
        <v>11</v>
      </c>
      <c r="D561" t="s">
        <v>17</v>
      </c>
      <c r="E561" t="s">
        <v>22</v>
      </c>
      <c r="F561" s="38">
        <v>3605</v>
      </c>
      <c r="G561" t="s">
        <v>14</v>
      </c>
      <c r="H561" t="s">
        <v>25</v>
      </c>
      <c r="I561" s="38">
        <v>2715.3</v>
      </c>
      <c r="J561">
        <v>12</v>
      </c>
      <c r="K561">
        <v>0</v>
      </c>
    </row>
    <row r="562" hidden="1" spans="1:11">
      <c r="A562">
        <v>561</v>
      </c>
      <c r="B562">
        <v>28</v>
      </c>
      <c r="C562" t="s">
        <v>11</v>
      </c>
      <c r="D562" t="s">
        <v>12</v>
      </c>
      <c r="E562" t="s">
        <v>13</v>
      </c>
      <c r="F562" s="38">
        <v>5511</v>
      </c>
      <c r="G562" t="s">
        <v>14</v>
      </c>
      <c r="H562" t="s">
        <v>15</v>
      </c>
      <c r="I562" s="38">
        <v>3158.1</v>
      </c>
      <c r="J562">
        <v>18</v>
      </c>
      <c r="K562">
        <v>0</v>
      </c>
    </row>
    <row r="563" hidden="1" spans="1:11">
      <c r="A563">
        <v>562</v>
      </c>
      <c r="B563">
        <v>17</v>
      </c>
      <c r="C563" t="s">
        <v>11</v>
      </c>
      <c r="D563" t="s">
        <v>12</v>
      </c>
      <c r="E563" t="s">
        <v>22</v>
      </c>
      <c r="F563" s="38">
        <v>2984</v>
      </c>
      <c r="G563" t="s">
        <v>20</v>
      </c>
      <c r="H563" t="s">
        <v>21</v>
      </c>
      <c r="I563" s="38">
        <v>2178</v>
      </c>
      <c r="J563">
        <v>9</v>
      </c>
      <c r="K563">
        <v>1</v>
      </c>
    </row>
    <row r="564" hidden="1" spans="1:11">
      <c r="A564">
        <v>563</v>
      </c>
      <c r="B564">
        <v>48</v>
      </c>
      <c r="C564" t="s">
        <v>16</v>
      </c>
      <c r="D564" t="s">
        <v>24</v>
      </c>
      <c r="E564" t="s">
        <v>13</v>
      </c>
      <c r="F564" s="38">
        <v>3334</v>
      </c>
      <c r="G564" t="s">
        <v>14</v>
      </c>
      <c r="H564" t="s">
        <v>15</v>
      </c>
      <c r="I564" s="38">
        <v>2419.2</v>
      </c>
      <c r="J564">
        <v>12</v>
      </c>
      <c r="K564">
        <v>0</v>
      </c>
    </row>
    <row r="565" hidden="1" spans="1:11">
      <c r="A565">
        <v>564</v>
      </c>
      <c r="B565">
        <v>40</v>
      </c>
      <c r="C565" t="s">
        <v>16</v>
      </c>
      <c r="D565" t="s">
        <v>12</v>
      </c>
      <c r="E565" t="s">
        <v>13</v>
      </c>
      <c r="F565" s="38">
        <v>5131</v>
      </c>
      <c r="G565" t="s">
        <v>20</v>
      </c>
      <c r="H565" t="s">
        <v>21</v>
      </c>
      <c r="I565" s="38">
        <v>5673.6</v>
      </c>
      <c r="J565">
        <v>36</v>
      </c>
      <c r="K565">
        <v>0</v>
      </c>
    </row>
    <row r="566" spans="1:11">
      <c r="A566">
        <v>565</v>
      </c>
      <c r="B566">
        <v>48</v>
      </c>
      <c r="C566" t="s">
        <v>16</v>
      </c>
      <c r="D566" t="s">
        <v>24</v>
      </c>
      <c r="E566" t="s">
        <v>13</v>
      </c>
      <c r="F566" s="38">
        <v>6530</v>
      </c>
      <c r="G566" t="s">
        <v>20</v>
      </c>
      <c r="H566" t="s">
        <v>15</v>
      </c>
      <c r="I566" s="38">
        <v>4244.4</v>
      </c>
      <c r="J566">
        <v>6</v>
      </c>
      <c r="K566">
        <v>0</v>
      </c>
    </row>
    <row r="567" hidden="1" spans="1:11">
      <c r="A567">
        <v>566</v>
      </c>
      <c r="B567">
        <v>26</v>
      </c>
      <c r="C567" t="s">
        <v>11</v>
      </c>
      <c r="D567" t="s">
        <v>12</v>
      </c>
      <c r="E567" t="s">
        <v>22</v>
      </c>
      <c r="F567" s="38">
        <v>3727</v>
      </c>
      <c r="G567" t="s">
        <v>14</v>
      </c>
      <c r="H567" t="s">
        <v>21</v>
      </c>
      <c r="I567" s="38">
        <v>1398.6</v>
      </c>
      <c r="J567">
        <v>6</v>
      </c>
      <c r="K567">
        <v>0</v>
      </c>
    </row>
    <row r="568" spans="1:11">
      <c r="A568">
        <v>567</v>
      </c>
      <c r="B568">
        <v>35</v>
      </c>
      <c r="C568" t="s">
        <v>16</v>
      </c>
      <c r="D568" t="s">
        <v>12</v>
      </c>
      <c r="E568" t="s">
        <v>13</v>
      </c>
      <c r="F568" s="38">
        <v>6331</v>
      </c>
      <c r="G568" t="s">
        <v>26</v>
      </c>
      <c r="H568" t="s">
        <v>21</v>
      </c>
      <c r="I568" s="38">
        <v>2680.2</v>
      </c>
      <c r="J568">
        <v>6</v>
      </c>
      <c r="K568">
        <v>0</v>
      </c>
    </row>
    <row r="569" spans="1:11">
      <c r="A569">
        <v>568</v>
      </c>
      <c r="B569">
        <v>47</v>
      </c>
      <c r="C569" t="s">
        <v>16</v>
      </c>
      <c r="D569" t="s">
        <v>12</v>
      </c>
      <c r="E569" t="s">
        <v>13</v>
      </c>
      <c r="F569" s="38">
        <v>6356</v>
      </c>
      <c r="G569" t="s">
        <v>26</v>
      </c>
      <c r="H569" t="s">
        <v>21</v>
      </c>
      <c r="I569" s="38">
        <v>939.6</v>
      </c>
      <c r="J569">
        <v>12</v>
      </c>
      <c r="K569">
        <v>0</v>
      </c>
    </row>
    <row r="570" hidden="1" spans="1:11">
      <c r="A570">
        <v>569</v>
      </c>
      <c r="B570">
        <v>25</v>
      </c>
      <c r="C570" t="s">
        <v>16</v>
      </c>
      <c r="D570" t="s">
        <v>12</v>
      </c>
      <c r="E570" t="s">
        <v>13</v>
      </c>
      <c r="F570" s="38">
        <v>2154</v>
      </c>
      <c r="G570" t="s">
        <v>18</v>
      </c>
      <c r="H570" t="s">
        <v>25</v>
      </c>
      <c r="I570" s="38">
        <v>3366</v>
      </c>
      <c r="J570">
        <v>48</v>
      </c>
      <c r="K570">
        <v>1</v>
      </c>
    </row>
    <row r="571" hidden="1" spans="1:11">
      <c r="A571">
        <v>570</v>
      </c>
      <c r="B571">
        <v>44</v>
      </c>
      <c r="C571" t="s">
        <v>11</v>
      </c>
      <c r="D571" t="s">
        <v>12</v>
      </c>
      <c r="E571" t="s">
        <v>23</v>
      </c>
      <c r="F571" s="38">
        <v>1903</v>
      </c>
      <c r="G571" t="s">
        <v>18</v>
      </c>
      <c r="H571" t="s">
        <v>15</v>
      </c>
      <c r="I571" s="38">
        <v>27746.4</v>
      </c>
      <c r="J571">
        <v>36</v>
      </c>
      <c r="K571">
        <v>1</v>
      </c>
    </row>
    <row r="572" hidden="1" spans="1:11">
      <c r="A572">
        <v>571</v>
      </c>
      <c r="B572">
        <v>35</v>
      </c>
      <c r="C572" t="s">
        <v>11</v>
      </c>
      <c r="D572" t="s">
        <v>12</v>
      </c>
      <c r="E572" t="s">
        <v>13</v>
      </c>
      <c r="F572" s="38">
        <v>4320</v>
      </c>
      <c r="G572" t="s">
        <v>14</v>
      </c>
      <c r="H572" t="s">
        <v>15</v>
      </c>
      <c r="I572" s="38">
        <v>3407.4</v>
      </c>
      <c r="J572">
        <v>12</v>
      </c>
      <c r="K572">
        <v>0</v>
      </c>
    </row>
    <row r="573" hidden="1" spans="1:11">
      <c r="A573">
        <v>572</v>
      </c>
      <c r="B573">
        <v>69</v>
      </c>
      <c r="C573" t="s">
        <v>16</v>
      </c>
      <c r="D573" t="s">
        <v>12</v>
      </c>
      <c r="E573" t="s">
        <v>13</v>
      </c>
      <c r="F573" s="38">
        <v>3608</v>
      </c>
      <c r="G573" t="s">
        <v>20</v>
      </c>
      <c r="H573" t="s">
        <v>21</v>
      </c>
      <c r="I573" s="38">
        <v>1368</v>
      </c>
      <c r="J573">
        <v>15</v>
      </c>
      <c r="K573">
        <v>0</v>
      </c>
    </row>
    <row r="574" hidden="1" spans="1:11">
      <c r="A574">
        <v>573</v>
      </c>
      <c r="B574">
        <v>25</v>
      </c>
      <c r="C574" t="s">
        <v>11</v>
      </c>
      <c r="D574" t="s">
        <v>24</v>
      </c>
      <c r="E574" t="s">
        <v>13</v>
      </c>
      <c r="F574" s="38">
        <v>1791</v>
      </c>
      <c r="G574" t="s">
        <v>14</v>
      </c>
      <c r="H574" t="s">
        <v>25</v>
      </c>
      <c r="I574" s="38">
        <v>3215.7</v>
      </c>
      <c r="J574">
        <v>12</v>
      </c>
      <c r="K574">
        <v>0</v>
      </c>
    </row>
    <row r="575" hidden="1" spans="1:11">
      <c r="A575">
        <v>574</v>
      </c>
      <c r="B575">
        <v>23</v>
      </c>
      <c r="C575" t="s">
        <v>11</v>
      </c>
      <c r="D575" t="s">
        <v>17</v>
      </c>
      <c r="E575" t="s">
        <v>13</v>
      </c>
      <c r="F575" s="38">
        <v>1793</v>
      </c>
      <c r="G575" t="s">
        <v>18</v>
      </c>
      <c r="H575" t="s">
        <v>25</v>
      </c>
      <c r="I575" s="38">
        <v>10956</v>
      </c>
      <c r="J575">
        <v>48</v>
      </c>
      <c r="K575">
        <v>1</v>
      </c>
    </row>
    <row r="576" hidden="1" spans="1:11">
      <c r="A576">
        <v>575</v>
      </c>
      <c r="B576">
        <v>26</v>
      </c>
      <c r="C576" t="s">
        <v>16</v>
      </c>
      <c r="D576" t="s">
        <v>12</v>
      </c>
      <c r="E576" t="s">
        <v>13</v>
      </c>
      <c r="F576" s="38">
        <v>2343</v>
      </c>
      <c r="G576" t="s">
        <v>26</v>
      </c>
      <c r="H576" t="s">
        <v>21</v>
      </c>
      <c r="I576" s="38">
        <v>2312.1</v>
      </c>
      <c r="J576">
        <v>39</v>
      </c>
      <c r="K576">
        <v>0</v>
      </c>
    </row>
    <row r="577" hidden="1" spans="1:11">
      <c r="A577">
        <v>576</v>
      </c>
      <c r="B577">
        <v>47</v>
      </c>
      <c r="C577" t="s">
        <v>16</v>
      </c>
      <c r="D577" t="s">
        <v>17</v>
      </c>
      <c r="E577" t="s">
        <v>23</v>
      </c>
      <c r="F577" s="38">
        <v>2737</v>
      </c>
      <c r="G577" t="s">
        <v>18</v>
      </c>
      <c r="H577" t="s">
        <v>19</v>
      </c>
      <c r="I577" s="38">
        <v>7114.8</v>
      </c>
      <c r="J577">
        <v>12</v>
      </c>
      <c r="K577">
        <v>1</v>
      </c>
    </row>
    <row r="578" hidden="1" spans="1:11">
      <c r="A578">
        <v>577</v>
      </c>
      <c r="B578">
        <v>34</v>
      </c>
      <c r="C578" t="s">
        <v>16</v>
      </c>
      <c r="D578" t="s">
        <v>12</v>
      </c>
      <c r="E578" t="s">
        <v>13</v>
      </c>
      <c r="F578" s="38">
        <v>4222</v>
      </c>
      <c r="G578" t="s">
        <v>20</v>
      </c>
      <c r="H578" t="s">
        <v>25</v>
      </c>
      <c r="I578" s="38">
        <v>1337.6</v>
      </c>
      <c r="J578">
        <v>24</v>
      </c>
      <c r="K578">
        <v>1</v>
      </c>
    </row>
    <row r="579" hidden="1" spans="1:11">
      <c r="A579">
        <v>578</v>
      </c>
      <c r="B579">
        <v>69</v>
      </c>
      <c r="C579" t="s">
        <v>16</v>
      </c>
      <c r="D579" t="s">
        <v>12</v>
      </c>
      <c r="E579" t="s">
        <v>13</v>
      </c>
      <c r="F579" s="38">
        <v>3005</v>
      </c>
      <c r="G579" t="s">
        <v>14</v>
      </c>
      <c r="H579" t="s">
        <v>15</v>
      </c>
      <c r="I579" s="38">
        <v>2631.6</v>
      </c>
      <c r="J579">
        <v>24</v>
      </c>
      <c r="K579">
        <v>0</v>
      </c>
    </row>
    <row r="580" hidden="1" spans="1:11">
      <c r="A580">
        <v>579</v>
      </c>
      <c r="B580">
        <v>29</v>
      </c>
      <c r="C580" t="s">
        <v>11</v>
      </c>
      <c r="D580" t="s">
        <v>12</v>
      </c>
      <c r="E580" t="s">
        <v>22</v>
      </c>
      <c r="F580" s="38">
        <v>3938</v>
      </c>
      <c r="G580" t="s">
        <v>20</v>
      </c>
      <c r="H580" t="s">
        <v>15</v>
      </c>
      <c r="I580" s="38">
        <v>1413.5</v>
      </c>
      <c r="J580">
        <v>24</v>
      </c>
      <c r="K580">
        <v>1</v>
      </c>
    </row>
    <row r="581" hidden="1" spans="1:11">
      <c r="A581">
        <v>580</v>
      </c>
      <c r="B581">
        <v>33</v>
      </c>
      <c r="C581" t="s">
        <v>16</v>
      </c>
      <c r="D581" t="s">
        <v>12</v>
      </c>
      <c r="E581" t="s">
        <v>13</v>
      </c>
      <c r="F581" s="38">
        <v>2934</v>
      </c>
      <c r="G581" t="s">
        <v>14</v>
      </c>
      <c r="H581" t="s">
        <v>21</v>
      </c>
      <c r="I581" s="38">
        <v>4191.3</v>
      </c>
      <c r="J581">
        <v>15</v>
      </c>
      <c r="K581">
        <v>0</v>
      </c>
    </row>
    <row r="582" spans="1:11">
      <c r="A582">
        <v>581</v>
      </c>
      <c r="B582">
        <v>73</v>
      </c>
      <c r="C582" t="s">
        <v>16</v>
      </c>
      <c r="D582" t="s">
        <v>17</v>
      </c>
      <c r="E582" t="s">
        <v>23</v>
      </c>
      <c r="F582" s="38">
        <v>6062</v>
      </c>
      <c r="G582" t="s">
        <v>14</v>
      </c>
      <c r="H582" t="s">
        <v>15</v>
      </c>
      <c r="I582" s="38">
        <v>1373.4</v>
      </c>
      <c r="J582">
        <v>12</v>
      </c>
      <c r="K582">
        <v>0</v>
      </c>
    </row>
    <row r="583" hidden="1" spans="1:11">
      <c r="A583">
        <v>582</v>
      </c>
      <c r="B583">
        <v>28</v>
      </c>
      <c r="C583" t="s">
        <v>11</v>
      </c>
      <c r="D583" t="s">
        <v>12</v>
      </c>
      <c r="E583" t="s">
        <v>13</v>
      </c>
      <c r="F583" s="38">
        <v>3346</v>
      </c>
      <c r="G583" t="s">
        <v>14</v>
      </c>
      <c r="H583" t="s">
        <v>21</v>
      </c>
      <c r="I583" s="38">
        <v>5193.9</v>
      </c>
      <c r="J583">
        <v>30</v>
      </c>
      <c r="K583">
        <v>0</v>
      </c>
    </row>
    <row r="584" hidden="1" spans="1:11">
      <c r="A584">
        <v>583</v>
      </c>
      <c r="B584">
        <v>83</v>
      </c>
      <c r="C584" t="s">
        <v>16</v>
      </c>
      <c r="D584" t="s">
        <v>17</v>
      </c>
      <c r="E584" t="s">
        <v>23</v>
      </c>
      <c r="F584" s="38">
        <v>2609</v>
      </c>
      <c r="G584" t="s">
        <v>14</v>
      </c>
      <c r="H584" t="s">
        <v>15</v>
      </c>
      <c r="I584" s="38">
        <v>5953.5</v>
      </c>
      <c r="J584">
        <v>24</v>
      </c>
      <c r="K584">
        <v>0</v>
      </c>
    </row>
    <row r="585" hidden="1" spans="1:11">
      <c r="A585">
        <v>584</v>
      </c>
      <c r="B585">
        <v>41</v>
      </c>
      <c r="C585" t="s">
        <v>16</v>
      </c>
      <c r="D585" t="s">
        <v>24</v>
      </c>
      <c r="E585" t="s">
        <v>13</v>
      </c>
      <c r="F585" s="38">
        <v>3241</v>
      </c>
      <c r="G585" t="s">
        <v>14</v>
      </c>
      <c r="H585" t="s">
        <v>15</v>
      </c>
      <c r="I585" s="38">
        <v>4406.6</v>
      </c>
      <c r="J585">
        <v>28</v>
      </c>
      <c r="K585">
        <v>1</v>
      </c>
    </row>
    <row r="586" hidden="1" spans="1:11">
      <c r="A586">
        <v>585</v>
      </c>
      <c r="B586">
        <v>41</v>
      </c>
      <c r="C586" t="s">
        <v>16</v>
      </c>
      <c r="D586" t="s">
        <v>24</v>
      </c>
      <c r="E586" t="s">
        <v>13</v>
      </c>
      <c r="F586" s="38">
        <v>2763</v>
      </c>
      <c r="G586" t="s">
        <v>14</v>
      </c>
      <c r="H586" t="s">
        <v>19</v>
      </c>
      <c r="I586" s="38">
        <v>3554.1</v>
      </c>
      <c r="J586">
        <v>10</v>
      </c>
      <c r="K586">
        <v>0</v>
      </c>
    </row>
    <row r="587" hidden="1" spans="1:11">
      <c r="A587">
        <v>586</v>
      </c>
      <c r="B587">
        <v>48</v>
      </c>
      <c r="C587" t="s">
        <v>11</v>
      </c>
      <c r="D587" t="s">
        <v>12</v>
      </c>
      <c r="E587" t="s">
        <v>13</v>
      </c>
      <c r="F587" s="38">
        <v>3116</v>
      </c>
      <c r="G587" t="s">
        <v>14</v>
      </c>
      <c r="H587" t="s">
        <v>15</v>
      </c>
      <c r="I587" s="38">
        <v>874.5</v>
      </c>
      <c r="J587">
        <v>12</v>
      </c>
      <c r="K587">
        <v>1</v>
      </c>
    </row>
    <row r="588" hidden="1" spans="1:11">
      <c r="A588">
        <v>587</v>
      </c>
      <c r="B588">
        <v>36</v>
      </c>
      <c r="C588" t="s">
        <v>16</v>
      </c>
      <c r="D588" t="s">
        <v>17</v>
      </c>
      <c r="E588" t="s">
        <v>22</v>
      </c>
      <c r="F588" s="38">
        <v>5960</v>
      </c>
      <c r="G588" t="s">
        <v>14</v>
      </c>
      <c r="H588" t="s">
        <v>25</v>
      </c>
      <c r="I588" s="38">
        <v>3713.4</v>
      </c>
      <c r="J588">
        <v>6</v>
      </c>
      <c r="K588">
        <v>0</v>
      </c>
    </row>
    <row r="589" hidden="1" spans="1:11">
      <c r="A589">
        <v>588</v>
      </c>
      <c r="B589">
        <v>54</v>
      </c>
      <c r="C589" t="s">
        <v>16</v>
      </c>
      <c r="D589" t="s">
        <v>12</v>
      </c>
      <c r="E589" t="s">
        <v>13</v>
      </c>
      <c r="F589" s="38">
        <v>5712</v>
      </c>
      <c r="G589" t="s">
        <v>14</v>
      </c>
      <c r="H589" t="s">
        <v>15</v>
      </c>
      <c r="I589" s="38">
        <v>934.2</v>
      </c>
      <c r="J589">
        <v>10</v>
      </c>
      <c r="K589">
        <v>0</v>
      </c>
    </row>
    <row r="590" hidden="1" spans="1:11">
      <c r="A590">
        <v>589</v>
      </c>
      <c r="B590">
        <v>33</v>
      </c>
      <c r="C590" t="s">
        <v>11</v>
      </c>
      <c r="D590" t="s">
        <v>12</v>
      </c>
      <c r="E590" t="s">
        <v>13</v>
      </c>
      <c r="F590" s="38">
        <v>1803</v>
      </c>
      <c r="G590" t="s">
        <v>14</v>
      </c>
      <c r="H590" t="s">
        <v>21</v>
      </c>
      <c r="I590" s="38">
        <v>7319.7</v>
      </c>
      <c r="J590">
        <v>36</v>
      </c>
      <c r="K590">
        <v>0</v>
      </c>
    </row>
    <row r="591" hidden="1" spans="1:11">
      <c r="A591">
        <v>590</v>
      </c>
      <c r="B591">
        <v>22</v>
      </c>
      <c r="C591" t="s">
        <v>11</v>
      </c>
      <c r="D591" t="s">
        <v>17</v>
      </c>
      <c r="E591" t="s">
        <v>22</v>
      </c>
      <c r="F591" s="38">
        <v>2623</v>
      </c>
      <c r="G591" t="s">
        <v>20</v>
      </c>
      <c r="H591" t="s">
        <v>15</v>
      </c>
      <c r="I591" s="38">
        <v>1402.5</v>
      </c>
      <c r="J591">
        <v>15</v>
      </c>
      <c r="K591">
        <v>1</v>
      </c>
    </row>
    <row r="592" hidden="1" spans="1:11">
      <c r="A592">
        <v>591</v>
      </c>
      <c r="B592">
        <v>40</v>
      </c>
      <c r="C592" t="s">
        <v>16</v>
      </c>
      <c r="D592" t="s">
        <v>12</v>
      </c>
      <c r="E592" t="s">
        <v>23</v>
      </c>
      <c r="F592" s="38">
        <v>5286</v>
      </c>
      <c r="G592" t="s">
        <v>20</v>
      </c>
      <c r="H592" t="s">
        <v>21</v>
      </c>
      <c r="I592" s="38">
        <v>630</v>
      </c>
      <c r="J592">
        <v>6</v>
      </c>
      <c r="K592">
        <v>0</v>
      </c>
    </row>
    <row r="593" hidden="1" spans="1:11">
      <c r="A593">
        <v>592</v>
      </c>
      <c r="B593">
        <v>25</v>
      </c>
      <c r="C593" t="s">
        <v>11</v>
      </c>
      <c r="D593" t="s">
        <v>12</v>
      </c>
      <c r="E593" t="s">
        <v>22</v>
      </c>
      <c r="F593" s="38">
        <v>3732</v>
      </c>
      <c r="G593" t="s">
        <v>20</v>
      </c>
      <c r="H593" t="s">
        <v>25</v>
      </c>
      <c r="I593" s="38">
        <v>4524.3</v>
      </c>
      <c r="J593">
        <v>24</v>
      </c>
      <c r="K593">
        <v>1</v>
      </c>
    </row>
    <row r="594" hidden="1" spans="1:11">
      <c r="A594">
        <v>593</v>
      </c>
      <c r="B594">
        <v>22</v>
      </c>
      <c r="C594" t="s">
        <v>16</v>
      </c>
      <c r="D594" t="s">
        <v>12</v>
      </c>
      <c r="E594" t="s">
        <v>13</v>
      </c>
      <c r="F594" s="38">
        <v>2002</v>
      </c>
      <c r="G594" t="s">
        <v>18</v>
      </c>
      <c r="H594" t="s">
        <v>25</v>
      </c>
      <c r="I594" s="38">
        <v>7216</v>
      </c>
      <c r="J594">
        <v>48</v>
      </c>
      <c r="K594">
        <v>1</v>
      </c>
    </row>
    <row r="595" hidden="1" spans="1:11">
      <c r="A595">
        <v>594</v>
      </c>
      <c r="B595">
        <v>23</v>
      </c>
      <c r="C595" t="s">
        <v>11</v>
      </c>
      <c r="D595" t="s">
        <v>12</v>
      </c>
      <c r="E595" t="s">
        <v>22</v>
      </c>
      <c r="F595" s="38">
        <v>2996</v>
      </c>
      <c r="G595" t="s">
        <v>20</v>
      </c>
      <c r="H595" t="s">
        <v>15</v>
      </c>
      <c r="I595" s="38">
        <v>1508.1</v>
      </c>
      <c r="J595">
        <v>24</v>
      </c>
      <c r="K595">
        <v>1</v>
      </c>
    </row>
    <row r="596" hidden="1" spans="1:11">
      <c r="A596">
        <v>595</v>
      </c>
      <c r="B596">
        <v>44</v>
      </c>
      <c r="C596" t="s">
        <v>11</v>
      </c>
      <c r="D596" t="s">
        <v>12</v>
      </c>
      <c r="E596" t="s">
        <v>13</v>
      </c>
      <c r="F596" s="38">
        <v>2453</v>
      </c>
      <c r="G596" t="s">
        <v>20</v>
      </c>
      <c r="H596" t="s">
        <v>21</v>
      </c>
      <c r="I596" s="38">
        <v>804.6</v>
      </c>
      <c r="J596">
        <v>10</v>
      </c>
      <c r="K596">
        <v>0</v>
      </c>
    </row>
    <row r="597" spans="1:11">
      <c r="A597">
        <v>596</v>
      </c>
      <c r="B597">
        <v>59</v>
      </c>
      <c r="C597" t="s">
        <v>16</v>
      </c>
      <c r="D597" t="s">
        <v>12</v>
      </c>
      <c r="E597" t="s">
        <v>13</v>
      </c>
      <c r="F597" s="38">
        <v>6695</v>
      </c>
      <c r="G597" t="s">
        <v>26</v>
      </c>
      <c r="H597" t="s">
        <v>25</v>
      </c>
      <c r="I597" s="38">
        <v>1186.2</v>
      </c>
      <c r="J597">
        <v>12</v>
      </c>
      <c r="K597">
        <v>0</v>
      </c>
    </row>
    <row r="598" hidden="1" spans="1:11">
      <c r="A598">
        <v>597</v>
      </c>
      <c r="B598">
        <v>41</v>
      </c>
      <c r="C598" t="s">
        <v>16</v>
      </c>
      <c r="D598" t="s">
        <v>12</v>
      </c>
      <c r="E598" t="s">
        <v>22</v>
      </c>
      <c r="F598" s="38">
        <v>5080</v>
      </c>
      <c r="G598" t="s">
        <v>14</v>
      </c>
      <c r="H598" t="s">
        <v>15</v>
      </c>
      <c r="I598" s="38">
        <v>3308.4</v>
      </c>
      <c r="J598">
        <v>6</v>
      </c>
      <c r="K598">
        <v>0</v>
      </c>
    </row>
    <row r="599" hidden="1" spans="1:11">
      <c r="A599">
        <v>598</v>
      </c>
      <c r="B599">
        <v>42</v>
      </c>
      <c r="C599" t="s">
        <v>16</v>
      </c>
      <c r="D599" t="s">
        <v>17</v>
      </c>
      <c r="E599" t="s">
        <v>13</v>
      </c>
      <c r="F599" s="38">
        <v>5840</v>
      </c>
      <c r="G599" t="s">
        <v>14</v>
      </c>
      <c r="H599" t="s">
        <v>21</v>
      </c>
      <c r="I599" s="38">
        <v>7032.6</v>
      </c>
      <c r="J599">
        <v>24</v>
      </c>
      <c r="K599">
        <v>0</v>
      </c>
    </row>
    <row r="600" hidden="1" spans="1:11">
      <c r="A600">
        <v>599</v>
      </c>
      <c r="B600">
        <v>29</v>
      </c>
      <c r="C600" t="s">
        <v>16</v>
      </c>
      <c r="D600" t="s">
        <v>12</v>
      </c>
      <c r="E600" t="s">
        <v>22</v>
      </c>
      <c r="F600" s="38">
        <v>3095</v>
      </c>
      <c r="G600" t="s">
        <v>18</v>
      </c>
      <c r="H600" t="s">
        <v>21</v>
      </c>
      <c r="I600" s="38">
        <v>3219.3</v>
      </c>
      <c r="J600">
        <v>9</v>
      </c>
      <c r="K600">
        <v>0</v>
      </c>
    </row>
    <row r="601" hidden="1" spans="1:11">
      <c r="A601">
        <v>600</v>
      </c>
      <c r="B601">
        <v>40</v>
      </c>
      <c r="C601" t="s">
        <v>16</v>
      </c>
      <c r="D601" t="s">
        <v>12</v>
      </c>
      <c r="E601" t="s">
        <v>13</v>
      </c>
      <c r="F601" s="38">
        <v>5014</v>
      </c>
      <c r="G601" t="s">
        <v>26</v>
      </c>
      <c r="H601" t="s">
        <v>19</v>
      </c>
      <c r="I601" s="38">
        <v>2124</v>
      </c>
      <c r="J601">
        <v>15</v>
      </c>
      <c r="K601">
        <v>0</v>
      </c>
    </row>
    <row r="602" hidden="1" spans="1:11">
      <c r="A602">
        <v>601</v>
      </c>
      <c r="B602">
        <v>39</v>
      </c>
      <c r="C602" t="s">
        <v>11</v>
      </c>
      <c r="D602" t="s">
        <v>12</v>
      </c>
      <c r="E602" t="s">
        <v>13</v>
      </c>
      <c r="F602" s="38">
        <v>5212</v>
      </c>
      <c r="G602" t="s">
        <v>26</v>
      </c>
      <c r="H602" t="s">
        <v>21</v>
      </c>
      <c r="I602" s="38">
        <v>1432.8</v>
      </c>
      <c r="J602">
        <v>12</v>
      </c>
      <c r="K602">
        <v>0</v>
      </c>
    </row>
    <row r="603" hidden="1" spans="1:11">
      <c r="A603">
        <v>602</v>
      </c>
      <c r="B603">
        <v>43</v>
      </c>
      <c r="C603" t="s">
        <v>16</v>
      </c>
      <c r="D603" t="s">
        <v>12</v>
      </c>
      <c r="E603" t="s">
        <v>13</v>
      </c>
      <c r="F603" s="38">
        <v>2968</v>
      </c>
      <c r="G603" t="s">
        <v>14</v>
      </c>
      <c r="H603" t="s">
        <v>21</v>
      </c>
      <c r="I603" s="38">
        <v>1325.7</v>
      </c>
      <c r="J603">
        <v>18</v>
      </c>
      <c r="K603">
        <v>0</v>
      </c>
    </row>
    <row r="604" hidden="1" spans="1:11">
      <c r="A604">
        <v>603</v>
      </c>
      <c r="B604">
        <v>35</v>
      </c>
      <c r="C604" t="s">
        <v>16</v>
      </c>
      <c r="D604" t="s">
        <v>12</v>
      </c>
      <c r="E604" t="s">
        <v>13</v>
      </c>
      <c r="F604" s="38">
        <v>4534</v>
      </c>
      <c r="G604" t="s">
        <v>20</v>
      </c>
      <c r="H604" t="s">
        <v>21</v>
      </c>
      <c r="I604" s="38">
        <v>2395.8</v>
      </c>
      <c r="J604">
        <v>18</v>
      </c>
      <c r="K604">
        <v>0</v>
      </c>
    </row>
    <row r="605" hidden="1" spans="1:11">
      <c r="A605">
        <v>604</v>
      </c>
      <c r="B605">
        <v>46</v>
      </c>
      <c r="C605" t="s">
        <v>16</v>
      </c>
      <c r="D605" t="s">
        <v>17</v>
      </c>
      <c r="E605" t="s">
        <v>13</v>
      </c>
      <c r="F605" s="38">
        <v>2231</v>
      </c>
      <c r="G605" t="s">
        <v>14</v>
      </c>
      <c r="H605" t="s">
        <v>15</v>
      </c>
      <c r="I605" s="38">
        <v>6942.6</v>
      </c>
      <c r="J605">
        <v>30</v>
      </c>
      <c r="K605">
        <v>0</v>
      </c>
    </row>
    <row r="606" hidden="1" spans="1:11">
      <c r="A606">
        <v>605</v>
      </c>
      <c r="B606">
        <v>62</v>
      </c>
      <c r="C606" t="s">
        <v>16</v>
      </c>
      <c r="D606" t="s">
        <v>12</v>
      </c>
      <c r="E606" t="s">
        <v>23</v>
      </c>
      <c r="F606" s="38">
        <v>2108</v>
      </c>
      <c r="G606" t="s">
        <v>14</v>
      </c>
      <c r="H606" t="s">
        <v>19</v>
      </c>
      <c r="I606" s="38">
        <v>4316.4</v>
      </c>
      <c r="J606">
        <v>42</v>
      </c>
      <c r="K606">
        <v>0</v>
      </c>
    </row>
    <row r="607" hidden="1" spans="1:11">
      <c r="A607">
        <v>606</v>
      </c>
      <c r="B607">
        <v>30</v>
      </c>
      <c r="C607" t="s">
        <v>11</v>
      </c>
      <c r="D607" t="s">
        <v>12</v>
      </c>
      <c r="E607" t="s">
        <v>13</v>
      </c>
      <c r="F607" s="38">
        <v>3827</v>
      </c>
      <c r="G607" t="s">
        <v>14</v>
      </c>
      <c r="H607" t="s">
        <v>25</v>
      </c>
      <c r="I607" s="38">
        <v>2637</v>
      </c>
      <c r="J607">
        <v>12</v>
      </c>
      <c r="K607">
        <v>0</v>
      </c>
    </row>
    <row r="608" hidden="1" spans="1:11">
      <c r="A608">
        <v>607</v>
      </c>
      <c r="B608">
        <v>27</v>
      </c>
      <c r="C608" t="s">
        <v>16</v>
      </c>
      <c r="D608" t="s">
        <v>12</v>
      </c>
      <c r="E608" t="s">
        <v>13</v>
      </c>
      <c r="F608" s="38">
        <v>3922</v>
      </c>
      <c r="G608" t="s">
        <v>18</v>
      </c>
      <c r="H608" t="s">
        <v>21</v>
      </c>
      <c r="I608" s="38">
        <v>21058.4</v>
      </c>
      <c r="J608">
        <v>36</v>
      </c>
      <c r="K608">
        <v>1</v>
      </c>
    </row>
    <row r="609" hidden="1" spans="1:11">
      <c r="A609">
        <v>608</v>
      </c>
      <c r="B609">
        <v>23</v>
      </c>
      <c r="C609" t="s">
        <v>11</v>
      </c>
      <c r="D609" t="s">
        <v>17</v>
      </c>
      <c r="E609" t="s">
        <v>22</v>
      </c>
      <c r="F609" s="38">
        <v>3055</v>
      </c>
      <c r="G609" t="s">
        <v>18</v>
      </c>
      <c r="H609" t="s">
        <v>21</v>
      </c>
      <c r="I609" s="38">
        <v>1424.5</v>
      </c>
      <c r="J609">
        <v>12</v>
      </c>
      <c r="K609">
        <v>1</v>
      </c>
    </row>
    <row r="610" hidden="1" spans="1:11">
      <c r="A610">
        <v>609</v>
      </c>
      <c r="B610">
        <v>46</v>
      </c>
      <c r="C610" t="s">
        <v>16</v>
      </c>
      <c r="D610" t="s">
        <v>24</v>
      </c>
      <c r="E610" t="s">
        <v>13</v>
      </c>
      <c r="F610" s="38">
        <v>4378</v>
      </c>
      <c r="G610" t="s">
        <v>14</v>
      </c>
      <c r="H610" t="s">
        <v>21</v>
      </c>
      <c r="I610" s="38">
        <v>1389.6</v>
      </c>
      <c r="J610">
        <v>4</v>
      </c>
      <c r="K610">
        <v>0</v>
      </c>
    </row>
    <row r="611" hidden="1" spans="1:11">
      <c r="A611">
        <v>610</v>
      </c>
      <c r="B611">
        <v>25</v>
      </c>
      <c r="C611" t="s">
        <v>16</v>
      </c>
      <c r="D611" t="s">
        <v>17</v>
      </c>
      <c r="E611" t="s">
        <v>13</v>
      </c>
      <c r="F611" s="38">
        <v>1935</v>
      </c>
      <c r="G611" t="s">
        <v>14</v>
      </c>
      <c r="H611" t="s">
        <v>25</v>
      </c>
      <c r="I611" s="38">
        <v>4673.9</v>
      </c>
      <c r="J611">
        <v>30</v>
      </c>
      <c r="K611">
        <v>1</v>
      </c>
    </row>
    <row r="612" hidden="1" spans="1:11">
      <c r="A612">
        <v>611</v>
      </c>
      <c r="B612">
        <v>43</v>
      </c>
      <c r="C612" t="s">
        <v>16</v>
      </c>
      <c r="D612" t="s">
        <v>12</v>
      </c>
      <c r="E612" t="s">
        <v>13</v>
      </c>
      <c r="F612" s="38">
        <v>2663</v>
      </c>
      <c r="G612" t="s">
        <v>18</v>
      </c>
      <c r="H612" t="s">
        <v>15</v>
      </c>
      <c r="I612" s="38">
        <v>1126.4</v>
      </c>
      <c r="J612">
        <v>24</v>
      </c>
      <c r="K612">
        <v>1</v>
      </c>
    </row>
    <row r="613" hidden="1" spans="1:11">
      <c r="A613">
        <v>612</v>
      </c>
      <c r="B613">
        <v>29</v>
      </c>
      <c r="C613" t="s">
        <v>11</v>
      </c>
      <c r="D613" t="s">
        <v>12</v>
      </c>
      <c r="E613" t="s">
        <v>13</v>
      </c>
      <c r="F613" s="38">
        <v>2474</v>
      </c>
      <c r="G613" t="s">
        <v>14</v>
      </c>
      <c r="H613" t="s">
        <v>21</v>
      </c>
      <c r="I613" s="38">
        <v>1307.7</v>
      </c>
      <c r="J613">
        <v>18</v>
      </c>
      <c r="K613">
        <v>0</v>
      </c>
    </row>
    <row r="614" hidden="1" spans="1:11">
      <c r="A614">
        <v>613</v>
      </c>
      <c r="B614">
        <v>47</v>
      </c>
      <c r="C614" t="s">
        <v>16</v>
      </c>
      <c r="D614" t="s">
        <v>17</v>
      </c>
      <c r="E614" t="s">
        <v>13</v>
      </c>
      <c r="F614" s="38">
        <v>2807</v>
      </c>
      <c r="G614" t="s">
        <v>14</v>
      </c>
      <c r="H614" t="s">
        <v>15</v>
      </c>
      <c r="I614" s="38">
        <v>2197.8</v>
      </c>
      <c r="J614">
        <v>27</v>
      </c>
      <c r="K614">
        <v>0</v>
      </c>
    </row>
    <row r="615" hidden="1" spans="1:11">
      <c r="A615">
        <v>614</v>
      </c>
      <c r="B615">
        <v>43</v>
      </c>
      <c r="C615" t="s">
        <v>16</v>
      </c>
      <c r="D615" t="s">
        <v>24</v>
      </c>
      <c r="E615" t="s">
        <v>13</v>
      </c>
      <c r="F615" s="38">
        <v>5938</v>
      </c>
      <c r="G615" t="s">
        <v>18</v>
      </c>
      <c r="H615" t="s">
        <v>25</v>
      </c>
      <c r="I615" s="38">
        <v>933.3</v>
      </c>
      <c r="J615">
        <v>12</v>
      </c>
      <c r="K615">
        <v>0</v>
      </c>
    </row>
    <row r="616" hidden="1" spans="1:11">
      <c r="A616">
        <v>615</v>
      </c>
      <c r="B616">
        <v>48</v>
      </c>
      <c r="C616" t="s">
        <v>16</v>
      </c>
      <c r="D616" t="s">
        <v>12</v>
      </c>
      <c r="E616" t="s">
        <v>23</v>
      </c>
      <c r="F616" s="38">
        <v>3707</v>
      </c>
      <c r="G616" t="s">
        <v>14</v>
      </c>
      <c r="H616" t="s">
        <v>21</v>
      </c>
      <c r="I616" s="38">
        <v>4956.3</v>
      </c>
      <c r="J616">
        <v>24</v>
      </c>
      <c r="K616">
        <v>0</v>
      </c>
    </row>
    <row r="617" spans="1:11">
      <c r="A617">
        <v>616</v>
      </c>
      <c r="B617">
        <v>36</v>
      </c>
      <c r="C617" t="s">
        <v>16</v>
      </c>
      <c r="D617" t="s">
        <v>12</v>
      </c>
      <c r="E617" t="s">
        <v>13</v>
      </c>
      <c r="F617" s="38">
        <v>6269</v>
      </c>
      <c r="G617" t="s">
        <v>26</v>
      </c>
      <c r="H617" t="s">
        <v>21</v>
      </c>
      <c r="I617" s="38">
        <v>1388.7</v>
      </c>
      <c r="J617">
        <v>6</v>
      </c>
      <c r="K617">
        <v>0</v>
      </c>
    </row>
    <row r="618" hidden="1" spans="1:11">
      <c r="A618">
        <v>617</v>
      </c>
      <c r="B618">
        <v>51</v>
      </c>
      <c r="C618" t="s">
        <v>16</v>
      </c>
      <c r="D618" t="s">
        <v>12</v>
      </c>
      <c r="E618" t="s">
        <v>13</v>
      </c>
      <c r="F618" s="38">
        <v>2784</v>
      </c>
      <c r="G618" t="s">
        <v>14</v>
      </c>
      <c r="H618" t="s">
        <v>21</v>
      </c>
      <c r="I618" s="38">
        <v>2349.9</v>
      </c>
      <c r="J618">
        <v>24</v>
      </c>
      <c r="K618">
        <v>0</v>
      </c>
    </row>
    <row r="619" hidden="1" spans="1:11">
      <c r="A619">
        <v>618</v>
      </c>
      <c r="B619">
        <v>33</v>
      </c>
      <c r="C619" t="s">
        <v>11</v>
      </c>
      <c r="D619" t="s">
        <v>12</v>
      </c>
      <c r="E619" t="s">
        <v>13</v>
      </c>
      <c r="F619" s="38">
        <v>5038</v>
      </c>
      <c r="G619" t="s">
        <v>26</v>
      </c>
      <c r="H619" t="s">
        <v>25</v>
      </c>
      <c r="I619" s="38">
        <v>7522.2</v>
      </c>
      <c r="J619">
        <v>48</v>
      </c>
      <c r="K619">
        <v>0</v>
      </c>
    </row>
    <row r="620" spans="1:11">
      <c r="A620">
        <v>619</v>
      </c>
      <c r="B620">
        <v>26</v>
      </c>
      <c r="C620" t="s">
        <v>16</v>
      </c>
      <c r="D620" t="s">
        <v>24</v>
      </c>
      <c r="E620" t="s">
        <v>13</v>
      </c>
      <c r="F620" s="38">
        <v>6371</v>
      </c>
      <c r="G620" t="s">
        <v>20</v>
      </c>
      <c r="H620" t="s">
        <v>15</v>
      </c>
      <c r="I620" s="38">
        <v>3386.7</v>
      </c>
      <c r="J620">
        <v>21</v>
      </c>
      <c r="K620">
        <v>0</v>
      </c>
    </row>
    <row r="621" hidden="1" spans="1:11">
      <c r="A621">
        <v>620</v>
      </c>
      <c r="B621">
        <v>36</v>
      </c>
      <c r="C621" t="s">
        <v>16</v>
      </c>
      <c r="D621" t="s">
        <v>12</v>
      </c>
      <c r="E621" t="s">
        <v>13</v>
      </c>
      <c r="F621" s="38">
        <v>3986</v>
      </c>
      <c r="G621" t="s">
        <v>14</v>
      </c>
      <c r="H621" t="s">
        <v>21</v>
      </c>
      <c r="I621" s="38">
        <v>2726.1</v>
      </c>
      <c r="J621">
        <v>15</v>
      </c>
      <c r="K621">
        <v>0</v>
      </c>
    </row>
    <row r="622" spans="1:11">
      <c r="A622">
        <v>621</v>
      </c>
      <c r="B622">
        <v>25</v>
      </c>
      <c r="C622" t="s">
        <v>11</v>
      </c>
      <c r="D622" t="s">
        <v>12</v>
      </c>
      <c r="E622" t="s">
        <v>22</v>
      </c>
      <c r="F622" s="38">
        <v>6038</v>
      </c>
      <c r="G622" t="s">
        <v>14</v>
      </c>
      <c r="H622" t="s">
        <v>15</v>
      </c>
      <c r="I622" s="38">
        <v>1888.2</v>
      </c>
      <c r="J622">
        <v>18</v>
      </c>
      <c r="K622">
        <v>0</v>
      </c>
    </row>
    <row r="623" hidden="1" spans="1:11">
      <c r="A623">
        <v>622</v>
      </c>
      <c r="B623">
        <v>73</v>
      </c>
      <c r="C623" t="s">
        <v>11</v>
      </c>
      <c r="D623" t="s">
        <v>24</v>
      </c>
      <c r="E623" t="s">
        <v>13</v>
      </c>
      <c r="F623" s="38">
        <v>3006</v>
      </c>
      <c r="G623" t="s">
        <v>26</v>
      </c>
      <c r="H623" t="s">
        <v>25</v>
      </c>
      <c r="I623" s="38">
        <v>711</v>
      </c>
      <c r="J623">
        <v>9</v>
      </c>
      <c r="K623">
        <v>0</v>
      </c>
    </row>
    <row r="624" hidden="1" spans="1:11">
      <c r="A624">
        <v>623</v>
      </c>
      <c r="B624">
        <v>67</v>
      </c>
      <c r="C624" t="s">
        <v>16</v>
      </c>
      <c r="D624" t="s">
        <v>24</v>
      </c>
      <c r="E624" t="s">
        <v>13</v>
      </c>
      <c r="F624" s="38">
        <v>5819</v>
      </c>
      <c r="G624" t="s">
        <v>26</v>
      </c>
      <c r="H624" t="s">
        <v>21</v>
      </c>
      <c r="I624" s="38">
        <v>2753.1</v>
      </c>
      <c r="J624">
        <v>12</v>
      </c>
      <c r="K624">
        <v>0</v>
      </c>
    </row>
    <row r="625" hidden="1" spans="1:11">
      <c r="A625">
        <v>624</v>
      </c>
      <c r="B625">
        <v>25</v>
      </c>
      <c r="C625" t="s">
        <v>16</v>
      </c>
      <c r="D625" t="s">
        <v>24</v>
      </c>
      <c r="E625" t="s">
        <v>22</v>
      </c>
      <c r="F625" s="38">
        <v>5707</v>
      </c>
      <c r="G625" t="s">
        <v>20</v>
      </c>
      <c r="H625" t="s">
        <v>15</v>
      </c>
      <c r="I625" s="38">
        <v>1742.4</v>
      </c>
      <c r="J625">
        <v>18</v>
      </c>
      <c r="K625">
        <v>0</v>
      </c>
    </row>
    <row r="626" spans="1:11">
      <c r="A626">
        <v>625</v>
      </c>
      <c r="B626">
        <v>37</v>
      </c>
      <c r="C626" t="s">
        <v>16</v>
      </c>
      <c r="D626" t="s">
        <v>12</v>
      </c>
      <c r="E626" t="s">
        <v>13</v>
      </c>
      <c r="F626" s="38">
        <v>6291</v>
      </c>
      <c r="G626" t="s">
        <v>18</v>
      </c>
      <c r="H626" t="s">
        <v>25</v>
      </c>
      <c r="I626" s="38">
        <v>2359.8</v>
      </c>
      <c r="J626">
        <v>18</v>
      </c>
      <c r="K626">
        <v>0</v>
      </c>
    </row>
    <row r="627" spans="1:11">
      <c r="A627">
        <v>626</v>
      </c>
      <c r="B627">
        <v>31</v>
      </c>
      <c r="C627" t="s">
        <v>11</v>
      </c>
      <c r="D627" t="s">
        <v>17</v>
      </c>
      <c r="E627" t="s">
        <v>22</v>
      </c>
      <c r="F627" s="38">
        <v>6750</v>
      </c>
      <c r="G627" t="s">
        <v>14</v>
      </c>
      <c r="H627" t="s">
        <v>15</v>
      </c>
      <c r="I627" s="38">
        <v>2345.4</v>
      </c>
      <c r="J627">
        <v>21</v>
      </c>
      <c r="K627">
        <v>0</v>
      </c>
    </row>
    <row r="628" spans="1:11">
      <c r="A628">
        <v>627</v>
      </c>
      <c r="B628">
        <v>27</v>
      </c>
      <c r="C628" t="s">
        <v>16</v>
      </c>
      <c r="D628" t="s">
        <v>24</v>
      </c>
      <c r="E628" t="s">
        <v>22</v>
      </c>
      <c r="F628" s="38">
        <v>6092</v>
      </c>
      <c r="G628" t="s">
        <v>20</v>
      </c>
      <c r="H628" t="s">
        <v>15</v>
      </c>
      <c r="I628" s="38">
        <v>3484.8</v>
      </c>
      <c r="J628">
        <v>18</v>
      </c>
      <c r="K628">
        <v>0</v>
      </c>
    </row>
    <row r="629" hidden="1" spans="1:11">
      <c r="A629">
        <v>628</v>
      </c>
      <c r="B629">
        <v>24</v>
      </c>
      <c r="C629" t="s">
        <v>16</v>
      </c>
      <c r="D629" t="s">
        <v>12</v>
      </c>
      <c r="E629" t="s">
        <v>23</v>
      </c>
      <c r="F629" s="38">
        <v>5232</v>
      </c>
      <c r="G629" t="s">
        <v>14</v>
      </c>
      <c r="H629" t="s">
        <v>15</v>
      </c>
      <c r="I629" s="38">
        <v>2834.1</v>
      </c>
      <c r="J629">
        <v>24</v>
      </c>
      <c r="K629">
        <v>0</v>
      </c>
    </row>
    <row r="630" hidden="1" spans="1:11">
      <c r="A630">
        <v>629</v>
      </c>
      <c r="B630">
        <v>44</v>
      </c>
      <c r="C630" t="s">
        <v>11</v>
      </c>
      <c r="D630" t="s">
        <v>12</v>
      </c>
      <c r="E630" t="s">
        <v>13</v>
      </c>
      <c r="F630" s="38">
        <v>2038</v>
      </c>
      <c r="G630" t="s">
        <v>26</v>
      </c>
      <c r="H630" t="s">
        <v>25</v>
      </c>
      <c r="I630" s="38">
        <v>1189.8</v>
      </c>
      <c r="J630">
        <v>11</v>
      </c>
      <c r="K630">
        <v>0</v>
      </c>
    </row>
    <row r="631" hidden="1" spans="1:11">
      <c r="A631">
        <v>630</v>
      </c>
      <c r="B631">
        <v>52</v>
      </c>
      <c r="C631" t="s">
        <v>16</v>
      </c>
      <c r="D631" t="s">
        <v>12</v>
      </c>
      <c r="E631" t="s">
        <v>13</v>
      </c>
      <c r="F631" s="38">
        <v>4008</v>
      </c>
      <c r="G631" t="s">
        <v>20</v>
      </c>
      <c r="H631" t="s">
        <v>21</v>
      </c>
      <c r="I631" s="38">
        <v>3220.2</v>
      </c>
      <c r="J631">
        <v>48</v>
      </c>
      <c r="K631">
        <v>0</v>
      </c>
    </row>
    <row r="632" hidden="1" spans="1:11">
      <c r="A632">
        <v>631</v>
      </c>
      <c r="B632">
        <v>26</v>
      </c>
      <c r="C632" t="s">
        <v>16</v>
      </c>
      <c r="D632" t="s">
        <v>24</v>
      </c>
      <c r="E632" t="s">
        <v>22</v>
      </c>
      <c r="F632" s="38">
        <v>5934</v>
      </c>
      <c r="G632" t="s">
        <v>14</v>
      </c>
      <c r="H632" t="s">
        <v>21</v>
      </c>
      <c r="I632" s="38">
        <v>1591.2</v>
      </c>
      <c r="J632">
        <v>12</v>
      </c>
      <c r="K632">
        <v>0</v>
      </c>
    </row>
    <row r="633" hidden="1" spans="1:11">
      <c r="A633">
        <v>632</v>
      </c>
      <c r="B633">
        <v>47</v>
      </c>
      <c r="C633" t="s">
        <v>11</v>
      </c>
      <c r="D633" t="s">
        <v>24</v>
      </c>
      <c r="E633" t="s">
        <v>13</v>
      </c>
      <c r="F633" s="38">
        <v>4925</v>
      </c>
      <c r="G633" t="s">
        <v>14</v>
      </c>
      <c r="H633" t="s">
        <v>21</v>
      </c>
      <c r="I633" s="38">
        <v>1313.1</v>
      </c>
      <c r="J633">
        <v>15</v>
      </c>
      <c r="K633">
        <v>0</v>
      </c>
    </row>
    <row r="634" hidden="1" spans="1:11">
      <c r="A634">
        <v>633</v>
      </c>
      <c r="B634">
        <v>62</v>
      </c>
      <c r="C634" t="s">
        <v>16</v>
      </c>
      <c r="D634" t="s">
        <v>12</v>
      </c>
      <c r="E634" t="s">
        <v>13</v>
      </c>
      <c r="F634" s="38">
        <v>3917</v>
      </c>
      <c r="G634" t="s">
        <v>14</v>
      </c>
      <c r="H634" t="s">
        <v>21</v>
      </c>
      <c r="I634" s="38">
        <v>556.2</v>
      </c>
      <c r="J634">
        <v>12</v>
      </c>
      <c r="K634">
        <v>0</v>
      </c>
    </row>
    <row r="635" hidden="1" spans="1:11">
      <c r="A635">
        <v>634</v>
      </c>
      <c r="B635">
        <v>30</v>
      </c>
      <c r="C635" t="s">
        <v>16</v>
      </c>
      <c r="D635" t="s">
        <v>17</v>
      </c>
      <c r="E635" t="s">
        <v>13</v>
      </c>
      <c r="F635" s="38">
        <v>2302</v>
      </c>
      <c r="G635" t="s">
        <v>26</v>
      </c>
      <c r="H635" t="s">
        <v>19</v>
      </c>
      <c r="I635" s="38">
        <v>638.1</v>
      </c>
      <c r="J635">
        <v>6</v>
      </c>
      <c r="K635">
        <v>0</v>
      </c>
    </row>
    <row r="636" hidden="1" spans="1:11">
      <c r="A636">
        <v>635</v>
      </c>
      <c r="B636">
        <v>48</v>
      </c>
      <c r="C636" t="s">
        <v>16</v>
      </c>
      <c r="D636" t="s">
        <v>12</v>
      </c>
      <c r="E636" t="s">
        <v>23</v>
      </c>
      <c r="F636" s="38">
        <v>3992</v>
      </c>
      <c r="G636" t="s">
        <v>18</v>
      </c>
      <c r="H636" t="s">
        <v>15</v>
      </c>
      <c r="I636" s="38">
        <v>5357</v>
      </c>
      <c r="J636">
        <v>24</v>
      </c>
      <c r="K636">
        <v>1</v>
      </c>
    </row>
    <row r="637" hidden="1" spans="1:11">
      <c r="A637">
        <v>636</v>
      </c>
      <c r="B637">
        <v>54</v>
      </c>
      <c r="C637" t="s">
        <v>16</v>
      </c>
      <c r="D637" t="s">
        <v>12</v>
      </c>
      <c r="E637" t="s">
        <v>23</v>
      </c>
      <c r="F637" s="38">
        <v>2958</v>
      </c>
      <c r="G637" t="s">
        <v>20</v>
      </c>
      <c r="H637" t="s">
        <v>15</v>
      </c>
      <c r="I637" s="38">
        <v>2667.6</v>
      </c>
      <c r="J637">
        <v>24</v>
      </c>
      <c r="K637">
        <v>0</v>
      </c>
    </row>
    <row r="638" hidden="1" spans="1:11">
      <c r="A638">
        <v>637</v>
      </c>
      <c r="B638">
        <v>31</v>
      </c>
      <c r="C638" t="s">
        <v>16</v>
      </c>
      <c r="D638" t="s">
        <v>24</v>
      </c>
      <c r="E638" t="s">
        <v>13</v>
      </c>
      <c r="F638" s="38">
        <v>4686</v>
      </c>
      <c r="G638" t="s">
        <v>14</v>
      </c>
      <c r="H638" t="s">
        <v>15</v>
      </c>
      <c r="I638" s="38">
        <v>1617.3</v>
      </c>
      <c r="J638">
        <v>13</v>
      </c>
      <c r="K638">
        <v>0</v>
      </c>
    </row>
    <row r="639" hidden="1" spans="1:11">
      <c r="A639">
        <v>638</v>
      </c>
      <c r="B639">
        <v>29</v>
      </c>
      <c r="C639" t="s">
        <v>16</v>
      </c>
      <c r="D639" t="s">
        <v>12</v>
      </c>
      <c r="E639" t="s">
        <v>13</v>
      </c>
      <c r="F639" s="38">
        <v>5125</v>
      </c>
      <c r="G639" t="s">
        <v>14</v>
      </c>
      <c r="H639" t="s">
        <v>21</v>
      </c>
      <c r="I639" s="38">
        <v>1740.6</v>
      </c>
      <c r="J639">
        <v>12</v>
      </c>
      <c r="K639">
        <v>0</v>
      </c>
    </row>
    <row r="640" spans="1:11">
      <c r="A640">
        <v>639</v>
      </c>
      <c r="B640">
        <v>28</v>
      </c>
      <c r="C640" t="s">
        <v>11</v>
      </c>
      <c r="D640" t="s">
        <v>12</v>
      </c>
      <c r="E640" t="s">
        <v>22</v>
      </c>
      <c r="F640" s="38">
        <v>6779</v>
      </c>
      <c r="G640" t="s">
        <v>20</v>
      </c>
      <c r="H640" t="s">
        <v>21</v>
      </c>
      <c r="I640" s="38">
        <v>1154.7</v>
      </c>
      <c r="J640">
        <v>22</v>
      </c>
      <c r="K640">
        <v>0</v>
      </c>
    </row>
    <row r="641" spans="1:11">
      <c r="A641">
        <v>640</v>
      </c>
      <c r="B641">
        <v>35</v>
      </c>
      <c r="C641" t="s">
        <v>11</v>
      </c>
      <c r="D641" t="s">
        <v>24</v>
      </c>
      <c r="E641" t="s">
        <v>13</v>
      </c>
      <c r="F641" s="38">
        <v>6780</v>
      </c>
      <c r="G641" t="s">
        <v>14</v>
      </c>
      <c r="H641" t="s">
        <v>21</v>
      </c>
      <c r="I641" s="38">
        <v>3124.8</v>
      </c>
      <c r="J641">
        <v>12</v>
      </c>
      <c r="K641">
        <v>0</v>
      </c>
    </row>
    <row r="642" hidden="1" spans="1:11">
      <c r="A642">
        <v>641</v>
      </c>
      <c r="B642">
        <v>29</v>
      </c>
      <c r="C642" t="s">
        <v>11</v>
      </c>
      <c r="D642" t="s">
        <v>17</v>
      </c>
      <c r="E642" t="s">
        <v>22</v>
      </c>
      <c r="F642" s="38">
        <v>3906</v>
      </c>
      <c r="G642" t="s">
        <v>20</v>
      </c>
      <c r="H642" t="s">
        <v>21</v>
      </c>
      <c r="I642" s="38">
        <v>4889.7</v>
      </c>
      <c r="J642">
        <v>24</v>
      </c>
      <c r="K642">
        <v>0</v>
      </c>
    </row>
    <row r="643" hidden="1" spans="1:11">
      <c r="A643">
        <v>642</v>
      </c>
      <c r="B643">
        <v>32</v>
      </c>
      <c r="C643" t="s">
        <v>16</v>
      </c>
      <c r="D643" t="s">
        <v>12</v>
      </c>
      <c r="E643" t="s">
        <v>22</v>
      </c>
      <c r="F643" s="38">
        <v>4372</v>
      </c>
      <c r="G643" t="s">
        <v>14</v>
      </c>
      <c r="H643" t="s">
        <v>21</v>
      </c>
      <c r="I643" s="38">
        <v>1897.2</v>
      </c>
      <c r="J643">
        <v>6</v>
      </c>
      <c r="K643">
        <v>0</v>
      </c>
    </row>
    <row r="644" hidden="1" spans="1:11">
      <c r="A644">
        <v>643</v>
      </c>
      <c r="B644">
        <v>31</v>
      </c>
      <c r="C644" t="s">
        <v>11</v>
      </c>
      <c r="D644" t="s">
        <v>17</v>
      </c>
      <c r="E644" t="s">
        <v>13</v>
      </c>
      <c r="F644" s="38">
        <v>4296</v>
      </c>
      <c r="G644" t="s">
        <v>14</v>
      </c>
      <c r="H644" t="s">
        <v>15</v>
      </c>
      <c r="I644" s="38">
        <v>2820.4</v>
      </c>
      <c r="J644">
        <v>24</v>
      </c>
      <c r="K644">
        <v>1</v>
      </c>
    </row>
    <row r="645" hidden="1" spans="1:11">
      <c r="A645">
        <v>644</v>
      </c>
      <c r="B645">
        <v>33</v>
      </c>
      <c r="C645" t="s">
        <v>16</v>
      </c>
      <c r="D645" t="s">
        <v>17</v>
      </c>
      <c r="E645" t="s">
        <v>13</v>
      </c>
      <c r="F645" s="38">
        <v>3053</v>
      </c>
      <c r="G645" t="s">
        <v>14</v>
      </c>
      <c r="H645" t="s">
        <v>25</v>
      </c>
      <c r="I645" s="38">
        <v>5368.5</v>
      </c>
      <c r="J645">
        <v>27</v>
      </c>
      <c r="K645">
        <v>0</v>
      </c>
    </row>
    <row r="646" hidden="1" spans="1:11">
      <c r="A646">
        <v>645</v>
      </c>
      <c r="B646">
        <v>37</v>
      </c>
      <c r="C646" t="s">
        <v>16</v>
      </c>
      <c r="D646" t="s">
        <v>17</v>
      </c>
      <c r="E646" t="s">
        <v>13</v>
      </c>
      <c r="F646" s="38">
        <v>3042</v>
      </c>
      <c r="G646" t="s">
        <v>18</v>
      </c>
      <c r="H646" t="s">
        <v>21</v>
      </c>
      <c r="I646" s="38">
        <v>1431.9</v>
      </c>
      <c r="J646">
        <v>21</v>
      </c>
      <c r="K646">
        <v>0</v>
      </c>
    </row>
    <row r="647" hidden="1" spans="1:11">
      <c r="A647">
        <v>646</v>
      </c>
      <c r="B647">
        <v>55</v>
      </c>
      <c r="C647" t="s">
        <v>16</v>
      </c>
      <c r="D647" t="s">
        <v>12</v>
      </c>
      <c r="E647" t="s">
        <v>22</v>
      </c>
      <c r="F647" s="38">
        <v>4847</v>
      </c>
      <c r="G647" t="s">
        <v>26</v>
      </c>
      <c r="H647" t="s">
        <v>21</v>
      </c>
      <c r="I647" s="38">
        <v>1112.4</v>
      </c>
      <c r="J647">
        <v>6</v>
      </c>
      <c r="K647">
        <v>0</v>
      </c>
    </row>
    <row r="648" hidden="1" spans="1:11">
      <c r="A648">
        <v>647</v>
      </c>
      <c r="B648">
        <v>27</v>
      </c>
      <c r="C648" t="s">
        <v>11</v>
      </c>
      <c r="D648" t="s">
        <v>17</v>
      </c>
      <c r="E648" t="s">
        <v>13</v>
      </c>
      <c r="F648" s="38">
        <v>3259</v>
      </c>
      <c r="G648" t="s">
        <v>14</v>
      </c>
      <c r="H648" t="s">
        <v>15</v>
      </c>
      <c r="I648" s="38">
        <v>4900.5</v>
      </c>
      <c r="J648">
        <v>36</v>
      </c>
      <c r="K648">
        <v>1</v>
      </c>
    </row>
    <row r="649" hidden="1" spans="1:11">
      <c r="A649">
        <v>648</v>
      </c>
      <c r="B649">
        <v>47</v>
      </c>
      <c r="C649" t="s">
        <v>16</v>
      </c>
      <c r="D649" t="s">
        <v>12</v>
      </c>
      <c r="E649" t="s">
        <v>13</v>
      </c>
      <c r="F649" s="38">
        <v>2923</v>
      </c>
      <c r="G649" t="s">
        <v>20</v>
      </c>
      <c r="H649" t="s">
        <v>21</v>
      </c>
      <c r="I649" s="38">
        <v>3637.8</v>
      </c>
      <c r="J649">
        <v>24</v>
      </c>
      <c r="K649">
        <v>0</v>
      </c>
    </row>
    <row r="650" hidden="1" spans="1:11">
      <c r="A650">
        <v>649</v>
      </c>
      <c r="B650">
        <v>20</v>
      </c>
      <c r="C650" t="s">
        <v>16</v>
      </c>
      <c r="D650" t="s">
        <v>17</v>
      </c>
      <c r="E650" t="s">
        <v>13</v>
      </c>
      <c r="F650" s="38">
        <v>2038</v>
      </c>
      <c r="G650" t="s">
        <v>26</v>
      </c>
      <c r="H650" t="s">
        <v>21</v>
      </c>
      <c r="I650" s="38">
        <v>1625.8</v>
      </c>
      <c r="J650">
        <v>9</v>
      </c>
      <c r="K650">
        <v>1</v>
      </c>
    </row>
    <row r="651" hidden="1" spans="1:11">
      <c r="A651">
        <v>650</v>
      </c>
      <c r="B651">
        <v>61</v>
      </c>
      <c r="C651" t="s">
        <v>16</v>
      </c>
      <c r="D651" t="s">
        <v>12</v>
      </c>
      <c r="E651" t="s">
        <v>22</v>
      </c>
      <c r="F651" s="38">
        <v>3070</v>
      </c>
      <c r="G651" t="s">
        <v>20</v>
      </c>
      <c r="H651" t="s">
        <v>21</v>
      </c>
      <c r="I651" s="38">
        <v>7437.1</v>
      </c>
      <c r="J651">
        <v>18</v>
      </c>
      <c r="K651">
        <v>1</v>
      </c>
    </row>
    <row r="652" hidden="1" spans="1:11">
      <c r="A652">
        <v>651</v>
      </c>
      <c r="B652">
        <v>28</v>
      </c>
      <c r="C652" t="s">
        <v>11</v>
      </c>
      <c r="D652" t="s">
        <v>17</v>
      </c>
      <c r="E652" t="s">
        <v>13</v>
      </c>
      <c r="F652" s="38">
        <v>4186</v>
      </c>
      <c r="G652" t="s">
        <v>20</v>
      </c>
      <c r="H652" t="s">
        <v>15</v>
      </c>
      <c r="I652" s="38">
        <v>15782.8</v>
      </c>
      <c r="J652">
        <v>42</v>
      </c>
      <c r="K652">
        <v>1</v>
      </c>
    </row>
    <row r="653" hidden="1" spans="1:11">
      <c r="A653">
        <v>652</v>
      </c>
      <c r="B653">
        <v>29</v>
      </c>
      <c r="C653" t="s">
        <v>11</v>
      </c>
      <c r="D653" t="s">
        <v>12</v>
      </c>
      <c r="E653" t="s">
        <v>13</v>
      </c>
      <c r="F653" s="38">
        <v>2124</v>
      </c>
      <c r="G653" t="s">
        <v>14</v>
      </c>
      <c r="H653" t="s">
        <v>21</v>
      </c>
      <c r="I653" s="38">
        <v>686.7</v>
      </c>
      <c r="J653">
        <v>12</v>
      </c>
      <c r="K653">
        <v>0</v>
      </c>
    </row>
    <row r="654" hidden="1" spans="1:11">
      <c r="A654">
        <v>653</v>
      </c>
      <c r="B654">
        <v>53</v>
      </c>
      <c r="C654" t="s">
        <v>16</v>
      </c>
      <c r="D654" t="s">
        <v>12</v>
      </c>
      <c r="E654" t="s">
        <v>23</v>
      </c>
      <c r="F654" s="38">
        <v>3837</v>
      </c>
      <c r="G654" t="s">
        <v>14</v>
      </c>
      <c r="H654" t="s">
        <v>15</v>
      </c>
      <c r="I654" s="38">
        <v>4895</v>
      </c>
      <c r="J654">
        <v>36</v>
      </c>
      <c r="K654">
        <v>1</v>
      </c>
    </row>
    <row r="655" hidden="1" spans="1:11">
      <c r="A655">
        <v>654</v>
      </c>
      <c r="B655">
        <v>39</v>
      </c>
      <c r="C655" t="s">
        <v>16</v>
      </c>
      <c r="D655" t="s">
        <v>24</v>
      </c>
      <c r="E655" t="s">
        <v>23</v>
      </c>
      <c r="F655" s="38">
        <v>4763</v>
      </c>
      <c r="G655" t="s">
        <v>26</v>
      </c>
      <c r="H655" t="s">
        <v>21</v>
      </c>
      <c r="I655" s="38">
        <v>8149.5</v>
      </c>
      <c r="J655">
        <v>36</v>
      </c>
      <c r="K655">
        <v>0</v>
      </c>
    </row>
    <row r="656" hidden="1" spans="1:11">
      <c r="A656">
        <v>655</v>
      </c>
      <c r="B656">
        <v>36</v>
      </c>
      <c r="C656" t="s">
        <v>16</v>
      </c>
      <c r="D656" t="s">
        <v>24</v>
      </c>
      <c r="E656" t="s">
        <v>13</v>
      </c>
      <c r="F656" s="38">
        <v>2636</v>
      </c>
      <c r="G656" t="s">
        <v>14</v>
      </c>
      <c r="H656" t="s">
        <v>15</v>
      </c>
      <c r="I656" s="38">
        <v>3650.4</v>
      </c>
      <c r="J656">
        <v>24</v>
      </c>
      <c r="K656">
        <v>0</v>
      </c>
    </row>
    <row r="657" hidden="1" spans="1:11">
      <c r="A657">
        <v>656</v>
      </c>
      <c r="B657">
        <v>19</v>
      </c>
      <c r="C657" t="s">
        <v>16</v>
      </c>
      <c r="D657" t="s">
        <v>12</v>
      </c>
      <c r="E657" t="s">
        <v>22</v>
      </c>
      <c r="F657" s="38">
        <v>4135</v>
      </c>
      <c r="G657" t="s">
        <v>14</v>
      </c>
      <c r="H657" t="s">
        <v>15</v>
      </c>
      <c r="I657" s="38">
        <v>992.2</v>
      </c>
      <c r="J657">
        <v>12</v>
      </c>
      <c r="K657">
        <v>1</v>
      </c>
    </row>
    <row r="658" hidden="1" spans="1:11">
      <c r="A658">
        <v>657</v>
      </c>
      <c r="B658">
        <v>56</v>
      </c>
      <c r="C658" t="s">
        <v>16</v>
      </c>
      <c r="D658" t="s">
        <v>12</v>
      </c>
      <c r="E658" t="s">
        <v>13</v>
      </c>
      <c r="F658" s="38">
        <v>3199</v>
      </c>
      <c r="G658" t="s">
        <v>14</v>
      </c>
      <c r="H658" t="s">
        <v>25</v>
      </c>
      <c r="I658" s="38">
        <v>4293.9</v>
      </c>
      <c r="J658">
        <v>11</v>
      </c>
      <c r="K658">
        <v>0</v>
      </c>
    </row>
    <row r="659" hidden="1" spans="1:11">
      <c r="A659">
        <v>658</v>
      </c>
      <c r="B659">
        <v>25</v>
      </c>
      <c r="C659" t="s">
        <v>11</v>
      </c>
      <c r="D659" t="s">
        <v>12</v>
      </c>
      <c r="E659" t="s">
        <v>22</v>
      </c>
      <c r="F659" s="38">
        <v>5053</v>
      </c>
      <c r="G659" t="s">
        <v>14</v>
      </c>
      <c r="H659" t="s">
        <v>19</v>
      </c>
      <c r="I659" s="38">
        <v>352.8</v>
      </c>
      <c r="J659">
        <v>15</v>
      </c>
      <c r="K659">
        <v>0</v>
      </c>
    </row>
    <row r="660" hidden="1" spans="1:11">
      <c r="A660">
        <v>659</v>
      </c>
      <c r="B660">
        <v>24</v>
      </c>
      <c r="C660" t="s">
        <v>16</v>
      </c>
      <c r="D660" t="s">
        <v>17</v>
      </c>
      <c r="E660" t="s">
        <v>23</v>
      </c>
      <c r="F660" s="38">
        <v>3321</v>
      </c>
      <c r="G660" t="s">
        <v>14</v>
      </c>
      <c r="H660" t="s">
        <v>15</v>
      </c>
      <c r="I660" s="38">
        <v>1564.2</v>
      </c>
      <c r="J660">
        <v>9</v>
      </c>
      <c r="K660">
        <v>1</v>
      </c>
    </row>
    <row r="661" hidden="1" spans="1:11">
      <c r="A661">
        <v>660</v>
      </c>
      <c r="B661">
        <v>50</v>
      </c>
      <c r="C661" t="s">
        <v>16</v>
      </c>
      <c r="D661" t="s">
        <v>12</v>
      </c>
      <c r="E661" t="s">
        <v>23</v>
      </c>
      <c r="F661" s="38">
        <v>2723</v>
      </c>
      <c r="G661" t="s">
        <v>26</v>
      </c>
      <c r="H661" t="s">
        <v>21</v>
      </c>
      <c r="I661" s="38">
        <v>1710.5</v>
      </c>
      <c r="J661">
        <v>12</v>
      </c>
      <c r="K661">
        <v>1</v>
      </c>
    </row>
    <row r="662" hidden="1" spans="1:11">
      <c r="A662">
        <v>661</v>
      </c>
      <c r="B662">
        <v>25</v>
      </c>
      <c r="C662" t="s">
        <v>11</v>
      </c>
      <c r="D662" t="s">
        <v>17</v>
      </c>
      <c r="E662" t="s">
        <v>13</v>
      </c>
      <c r="F662" s="38">
        <v>1464</v>
      </c>
      <c r="G662" t="s">
        <v>14</v>
      </c>
      <c r="H662" t="s">
        <v>25</v>
      </c>
      <c r="I662" s="38">
        <v>5757.4</v>
      </c>
      <c r="J662">
        <v>30</v>
      </c>
      <c r="K662">
        <v>1</v>
      </c>
    </row>
    <row r="663" hidden="1" spans="1:11">
      <c r="A663">
        <v>662</v>
      </c>
      <c r="B663">
        <v>30</v>
      </c>
      <c r="C663" t="s">
        <v>11</v>
      </c>
      <c r="D663" t="s">
        <v>12</v>
      </c>
      <c r="E663" t="s">
        <v>13</v>
      </c>
      <c r="F663" s="38">
        <v>1904</v>
      </c>
      <c r="G663" t="s">
        <v>14</v>
      </c>
      <c r="H663" t="s">
        <v>21</v>
      </c>
      <c r="I663" s="38">
        <v>1066.5</v>
      </c>
      <c r="J663">
        <v>12</v>
      </c>
      <c r="K663">
        <v>0</v>
      </c>
    </row>
    <row r="664" hidden="1" spans="1:11">
      <c r="A664">
        <v>663</v>
      </c>
      <c r="B664">
        <v>22</v>
      </c>
      <c r="C664" t="s">
        <v>11</v>
      </c>
      <c r="D664" t="s">
        <v>12</v>
      </c>
      <c r="E664" t="s">
        <v>13</v>
      </c>
      <c r="F664" s="38">
        <v>3562</v>
      </c>
      <c r="G664" t="s">
        <v>26</v>
      </c>
      <c r="H664" t="s">
        <v>25</v>
      </c>
      <c r="I664" s="38">
        <v>1419.3</v>
      </c>
      <c r="J664">
        <v>11</v>
      </c>
      <c r="K664">
        <v>0</v>
      </c>
    </row>
    <row r="665" hidden="1" spans="1:11">
      <c r="A665">
        <v>664</v>
      </c>
      <c r="B665">
        <v>25</v>
      </c>
      <c r="C665" t="s">
        <v>11</v>
      </c>
      <c r="D665" t="s">
        <v>24</v>
      </c>
      <c r="E665" t="s">
        <v>22</v>
      </c>
      <c r="F665" s="38">
        <v>5693</v>
      </c>
      <c r="G665" t="s">
        <v>14</v>
      </c>
      <c r="H665" t="s">
        <v>21</v>
      </c>
      <c r="I665" s="38">
        <v>540.9</v>
      </c>
      <c r="J665">
        <v>4</v>
      </c>
      <c r="K665">
        <v>0</v>
      </c>
    </row>
    <row r="666" hidden="1" spans="1:11">
      <c r="A666">
        <v>665</v>
      </c>
      <c r="B666">
        <v>55</v>
      </c>
      <c r="C666" t="s">
        <v>16</v>
      </c>
      <c r="D666" t="s">
        <v>12</v>
      </c>
      <c r="E666" t="s">
        <v>13</v>
      </c>
      <c r="F666" s="38">
        <v>4924</v>
      </c>
      <c r="G666" t="s">
        <v>14</v>
      </c>
      <c r="H666" t="s">
        <v>21</v>
      </c>
      <c r="I666" s="38">
        <v>1403.1</v>
      </c>
      <c r="J666">
        <v>24</v>
      </c>
      <c r="K666">
        <v>0</v>
      </c>
    </row>
    <row r="667" hidden="1" spans="1:11">
      <c r="A667">
        <v>666</v>
      </c>
      <c r="B667">
        <v>43</v>
      </c>
      <c r="C667" t="s">
        <v>11</v>
      </c>
      <c r="D667" t="s">
        <v>17</v>
      </c>
      <c r="E667" t="s">
        <v>23</v>
      </c>
      <c r="F667" s="38">
        <v>3631</v>
      </c>
      <c r="G667" t="s">
        <v>18</v>
      </c>
      <c r="H667" t="s">
        <v>19</v>
      </c>
      <c r="I667" s="38">
        <v>1364</v>
      </c>
      <c r="J667">
        <v>10</v>
      </c>
      <c r="K667">
        <v>1</v>
      </c>
    </row>
    <row r="668" hidden="1" spans="1:11">
      <c r="A668">
        <v>667</v>
      </c>
      <c r="B668">
        <v>18</v>
      </c>
      <c r="C668" t="s">
        <v>11</v>
      </c>
      <c r="D668" t="s">
        <v>24</v>
      </c>
      <c r="E668" t="s">
        <v>22</v>
      </c>
      <c r="F668" s="38">
        <v>2843</v>
      </c>
      <c r="G668" t="s">
        <v>14</v>
      </c>
      <c r="H668" t="s">
        <v>25</v>
      </c>
      <c r="I668" s="38">
        <v>2989.8</v>
      </c>
      <c r="J668">
        <v>24</v>
      </c>
      <c r="K668">
        <v>1</v>
      </c>
    </row>
    <row r="669" hidden="1" spans="1:11">
      <c r="A669">
        <v>668</v>
      </c>
      <c r="B669">
        <v>25</v>
      </c>
      <c r="C669" t="s">
        <v>16</v>
      </c>
      <c r="D669" t="s">
        <v>24</v>
      </c>
      <c r="E669" t="s">
        <v>13</v>
      </c>
      <c r="F669" s="38">
        <v>4085</v>
      </c>
      <c r="G669" t="s">
        <v>14</v>
      </c>
      <c r="H669" t="s">
        <v>25</v>
      </c>
      <c r="I669" s="38">
        <v>943.2</v>
      </c>
      <c r="J669">
        <v>10</v>
      </c>
      <c r="K669">
        <v>0</v>
      </c>
    </row>
    <row r="670" hidden="1" spans="1:11">
      <c r="A670">
        <v>669</v>
      </c>
      <c r="B670">
        <v>51</v>
      </c>
      <c r="C670" t="s">
        <v>16</v>
      </c>
      <c r="D670" t="s">
        <v>12</v>
      </c>
      <c r="E670" t="s">
        <v>13</v>
      </c>
      <c r="F670" s="38">
        <v>3674</v>
      </c>
      <c r="G670" t="s">
        <v>26</v>
      </c>
      <c r="H670" t="s">
        <v>21</v>
      </c>
      <c r="I670" s="38">
        <v>1034.1</v>
      </c>
      <c r="J670">
        <v>18</v>
      </c>
      <c r="K670">
        <v>0</v>
      </c>
    </row>
    <row r="671" hidden="1" spans="1:11">
      <c r="A671">
        <v>670</v>
      </c>
      <c r="B671">
        <v>57</v>
      </c>
      <c r="C671" t="s">
        <v>11</v>
      </c>
      <c r="D671" t="s">
        <v>17</v>
      </c>
      <c r="E671" t="s">
        <v>23</v>
      </c>
      <c r="F671" s="38">
        <v>1973</v>
      </c>
      <c r="G671" t="s">
        <v>20</v>
      </c>
      <c r="H671" t="s">
        <v>21</v>
      </c>
      <c r="I671" s="38">
        <v>1919.7</v>
      </c>
      <c r="J671">
        <v>12</v>
      </c>
      <c r="K671">
        <v>0</v>
      </c>
    </row>
    <row r="672" hidden="1" spans="1:11">
      <c r="A672">
        <v>671</v>
      </c>
      <c r="B672">
        <v>39</v>
      </c>
      <c r="C672" t="s">
        <v>16</v>
      </c>
      <c r="D672" t="s">
        <v>12</v>
      </c>
      <c r="E672" t="s">
        <v>13</v>
      </c>
      <c r="F672" s="38">
        <v>4334</v>
      </c>
      <c r="G672" t="s">
        <v>18</v>
      </c>
      <c r="H672" t="s">
        <v>21</v>
      </c>
      <c r="I672" s="38">
        <v>3735.9</v>
      </c>
      <c r="J672">
        <v>24</v>
      </c>
      <c r="K672">
        <v>0</v>
      </c>
    </row>
    <row r="673" hidden="1" spans="1:11">
      <c r="A673">
        <v>672</v>
      </c>
      <c r="B673">
        <v>24</v>
      </c>
      <c r="C673" t="s">
        <v>11</v>
      </c>
      <c r="D673" t="s">
        <v>12</v>
      </c>
      <c r="E673" t="s">
        <v>22</v>
      </c>
      <c r="F673" s="38">
        <v>2686</v>
      </c>
      <c r="G673" t="s">
        <v>14</v>
      </c>
      <c r="H673" t="s">
        <v>15</v>
      </c>
      <c r="I673" s="38">
        <v>3268.8</v>
      </c>
      <c r="J673">
        <v>24</v>
      </c>
      <c r="K673">
        <v>0</v>
      </c>
    </row>
    <row r="674" hidden="1" spans="1:11">
      <c r="A674">
        <v>673</v>
      </c>
      <c r="B674">
        <v>33</v>
      </c>
      <c r="C674" t="s">
        <v>16</v>
      </c>
      <c r="D674" t="s">
        <v>24</v>
      </c>
      <c r="E674" t="s">
        <v>13</v>
      </c>
      <c r="F674" s="38">
        <v>2206</v>
      </c>
      <c r="G674" t="s">
        <v>14</v>
      </c>
      <c r="H674" t="s">
        <v>25</v>
      </c>
      <c r="I674" s="38">
        <v>2114.2</v>
      </c>
      <c r="J674">
        <v>12</v>
      </c>
      <c r="K674">
        <v>1</v>
      </c>
    </row>
    <row r="675" hidden="1" spans="1:11">
      <c r="A675">
        <v>674</v>
      </c>
      <c r="B675">
        <v>41</v>
      </c>
      <c r="C675" t="s">
        <v>11</v>
      </c>
      <c r="D675" t="s">
        <v>12</v>
      </c>
      <c r="E675" t="s">
        <v>22</v>
      </c>
      <c r="F675" s="38">
        <v>5875</v>
      </c>
      <c r="G675" t="s">
        <v>26</v>
      </c>
      <c r="H675" t="s">
        <v>21</v>
      </c>
      <c r="I675" s="38">
        <v>1261.8</v>
      </c>
      <c r="J675">
        <v>12</v>
      </c>
      <c r="K675">
        <v>0</v>
      </c>
    </row>
    <row r="676" spans="1:11">
      <c r="A676">
        <v>675</v>
      </c>
      <c r="B676">
        <v>52</v>
      </c>
      <c r="C676" t="s">
        <v>16</v>
      </c>
      <c r="D676" t="s">
        <v>24</v>
      </c>
      <c r="E676" t="s">
        <v>13</v>
      </c>
      <c r="F676" s="38">
        <v>6209</v>
      </c>
      <c r="G676" t="s">
        <v>14</v>
      </c>
      <c r="H676" t="s">
        <v>15</v>
      </c>
      <c r="I676" s="38">
        <v>657.9</v>
      </c>
      <c r="J676">
        <v>8</v>
      </c>
      <c r="K676">
        <v>0</v>
      </c>
    </row>
    <row r="677" hidden="1" spans="1:11">
      <c r="A677">
        <v>676</v>
      </c>
      <c r="B677">
        <v>33</v>
      </c>
      <c r="C677" t="s">
        <v>16</v>
      </c>
      <c r="D677" t="s">
        <v>17</v>
      </c>
      <c r="E677" t="s">
        <v>22</v>
      </c>
      <c r="F677" s="38">
        <v>3637</v>
      </c>
      <c r="G677" t="s">
        <v>14</v>
      </c>
      <c r="H677" t="s">
        <v>25</v>
      </c>
      <c r="I677" s="38">
        <v>1856.7</v>
      </c>
      <c r="J677">
        <v>6</v>
      </c>
      <c r="K677">
        <v>0</v>
      </c>
    </row>
    <row r="678" hidden="1" spans="1:11">
      <c r="A678">
        <v>677</v>
      </c>
      <c r="B678">
        <v>22</v>
      </c>
      <c r="C678" t="s">
        <v>11</v>
      </c>
      <c r="D678" t="s">
        <v>12</v>
      </c>
      <c r="E678" t="s">
        <v>13</v>
      </c>
      <c r="F678" s="38">
        <v>2172</v>
      </c>
      <c r="G678" t="s">
        <v>14</v>
      </c>
      <c r="H678" t="s">
        <v>15</v>
      </c>
      <c r="I678" s="38">
        <v>2365</v>
      </c>
      <c r="J678">
        <v>30</v>
      </c>
      <c r="K678">
        <v>1</v>
      </c>
    </row>
    <row r="679" hidden="1" spans="1:11">
      <c r="A679">
        <v>678</v>
      </c>
      <c r="B679">
        <v>29</v>
      </c>
      <c r="C679" t="s">
        <v>11</v>
      </c>
      <c r="D679" t="s">
        <v>24</v>
      </c>
      <c r="E679" t="s">
        <v>13</v>
      </c>
      <c r="F679" s="38">
        <v>5419</v>
      </c>
      <c r="G679" t="s">
        <v>14</v>
      </c>
      <c r="H679" t="s">
        <v>25</v>
      </c>
      <c r="I679" s="38">
        <v>1001.7</v>
      </c>
      <c r="J679">
        <v>18</v>
      </c>
      <c r="K679">
        <v>0</v>
      </c>
    </row>
    <row r="680" spans="1:11">
      <c r="A680">
        <v>679</v>
      </c>
      <c r="B680">
        <v>33</v>
      </c>
      <c r="C680" t="s">
        <v>16</v>
      </c>
      <c r="D680" t="s">
        <v>17</v>
      </c>
      <c r="E680" t="s">
        <v>13</v>
      </c>
      <c r="F680" s="38">
        <v>6579</v>
      </c>
      <c r="G680" t="s">
        <v>14</v>
      </c>
      <c r="H680" t="s">
        <v>15</v>
      </c>
      <c r="I680" s="38">
        <v>3563.1</v>
      </c>
      <c r="J680">
        <v>36</v>
      </c>
      <c r="K680">
        <v>0</v>
      </c>
    </row>
    <row r="681" hidden="1" spans="1:11">
      <c r="A681">
        <v>680</v>
      </c>
      <c r="B681">
        <v>57</v>
      </c>
      <c r="C681" t="s">
        <v>16</v>
      </c>
      <c r="D681" t="s">
        <v>12</v>
      </c>
      <c r="E681" t="s">
        <v>22</v>
      </c>
      <c r="F681" s="38">
        <v>2324</v>
      </c>
      <c r="G681" t="s">
        <v>18</v>
      </c>
      <c r="H681" t="s">
        <v>15</v>
      </c>
      <c r="I681" s="38">
        <v>7519.6</v>
      </c>
      <c r="J681">
        <v>60</v>
      </c>
      <c r="K681">
        <v>1</v>
      </c>
    </row>
    <row r="682" hidden="1" spans="1:11">
      <c r="A682">
        <v>681</v>
      </c>
      <c r="B682">
        <v>34</v>
      </c>
      <c r="C682" t="s">
        <v>16</v>
      </c>
      <c r="D682" t="s">
        <v>12</v>
      </c>
      <c r="E682" t="s">
        <v>13</v>
      </c>
      <c r="F682" s="38">
        <v>5897</v>
      </c>
      <c r="G682" t="s">
        <v>20</v>
      </c>
      <c r="H682" t="s">
        <v>19</v>
      </c>
      <c r="I682" s="38">
        <v>2833.2</v>
      </c>
      <c r="J682">
        <v>24</v>
      </c>
      <c r="K682">
        <v>0</v>
      </c>
    </row>
    <row r="683" hidden="1" spans="1:11">
      <c r="A683">
        <v>682</v>
      </c>
      <c r="B683">
        <v>29</v>
      </c>
      <c r="C683" t="s">
        <v>11</v>
      </c>
      <c r="D683" t="s">
        <v>12</v>
      </c>
      <c r="E683" t="s">
        <v>13</v>
      </c>
      <c r="F683" s="38">
        <v>4076</v>
      </c>
      <c r="G683" t="s">
        <v>14</v>
      </c>
      <c r="H683" t="s">
        <v>21</v>
      </c>
      <c r="I683" s="38">
        <v>2163.6</v>
      </c>
      <c r="J683">
        <v>18</v>
      </c>
      <c r="K683">
        <v>0</v>
      </c>
    </row>
    <row r="684" hidden="1" spans="1:11">
      <c r="A684">
        <v>683</v>
      </c>
      <c r="B684">
        <v>37</v>
      </c>
      <c r="C684" t="s">
        <v>16</v>
      </c>
      <c r="D684" t="s">
        <v>24</v>
      </c>
      <c r="E684" t="s">
        <v>13</v>
      </c>
      <c r="F684" s="38">
        <v>1929</v>
      </c>
      <c r="G684" t="s">
        <v>18</v>
      </c>
      <c r="H684" t="s">
        <v>21</v>
      </c>
      <c r="I684" s="38">
        <v>1412.1</v>
      </c>
      <c r="J684">
        <v>15</v>
      </c>
      <c r="K684">
        <v>0</v>
      </c>
    </row>
    <row r="685" hidden="1" spans="1:11">
      <c r="A685">
        <v>684</v>
      </c>
      <c r="B685">
        <v>31</v>
      </c>
      <c r="C685" t="s">
        <v>16</v>
      </c>
      <c r="D685" t="s">
        <v>17</v>
      </c>
      <c r="E685" t="s">
        <v>13</v>
      </c>
      <c r="F685" s="38">
        <v>1651</v>
      </c>
      <c r="G685" t="s">
        <v>14</v>
      </c>
      <c r="H685" t="s">
        <v>15</v>
      </c>
      <c r="I685" s="38">
        <v>4257</v>
      </c>
      <c r="J685">
        <v>24</v>
      </c>
      <c r="K685">
        <v>1</v>
      </c>
    </row>
    <row r="686" hidden="1" spans="1:11">
      <c r="A686">
        <v>685</v>
      </c>
      <c r="B686">
        <v>35</v>
      </c>
      <c r="C686" t="s">
        <v>16</v>
      </c>
      <c r="D686" t="s">
        <v>17</v>
      </c>
      <c r="E686" t="s">
        <v>23</v>
      </c>
      <c r="F686" s="38">
        <v>4183</v>
      </c>
      <c r="G686" t="s">
        <v>14</v>
      </c>
      <c r="H686" t="s">
        <v>21</v>
      </c>
      <c r="I686" s="38">
        <v>4217.4</v>
      </c>
      <c r="J686">
        <v>36</v>
      </c>
      <c r="K686">
        <v>0</v>
      </c>
    </row>
    <row r="687" spans="1:11">
      <c r="A687">
        <v>686</v>
      </c>
      <c r="B687">
        <v>44</v>
      </c>
      <c r="C687" t="s">
        <v>16</v>
      </c>
      <c r="D687" t="s">
        <v>17</v>
      </c>
      <c r="E687" t="s">
        <v>23</v>
      </c>
      <c r="F687" s="38">
        <v>6394</v>
      </c>
      <c r="G687" t="s">
        <v>20</v>
      </c>
      <c r="H687" t="s">
        <v>19</v>
      </c>
      <c r="I687" s="38">
        <v>4842.9</v>
      </c>
      <c r="J687">
        <v>48</v>
      </c>
      <c r="K687">
        <v>0</v>
      </c>
    </row>
    <row r="688" spans="1:11">
      <c r="A688">
        <v>687</v>
      </c>
      <c r="B688">
        <v>51</v>
      </c>
      <c r="C688" t="s">
        <v>16</v>
      </c>
      <c r="D688" t="s">
        <v>17</v>
      </c>
      <c r="E688" t="s">
        <v>13</v>
      </c>
      <c r="F688" s="38">
        <v>6060</v>
      </c>
      <c r="G688" t="s">
        <v>20</v>
      </c>
      <c r="H688" t="s">
        <v>21</v>
      </c>
      <c r="I688" s="38">
        <v>6866.1</v>
      </c>
      <c r="J688">
        <v>48</v>
      </c>
      <c r="K688">
        <v>0</v>
      </c>
    </row>
    <row r="689" spans="1:11">
      <c r="A689">
        <v>688</v>
      </c>
      <c r="B689">
        <v>23</v>
      </c>
      <c r="C689" t="s">
        <v>11</v>
      </c>
      <c r="D689" t="s">
        <v>12</v>
      </c>
      <c r="E689" t="s">
        <v>13</v>
      </c>
      <c r="F689" s="38">
        <v>6080</v>
      </c>
      <c r="G689" t="s">
        <v>18</v>
      </c>
      <c r="H689" t="s">
        <v>21</v>
      </c>
      <c r="I689" s="38">
        <v>9129.6</v>
      </c>
      <c r="J689">
        <v>60</v>
      </c>
      <c r="K689">
        <v>0</v>
      </c>
    </row>
    <row r="690" hidden="1" spans="1:11">
      <c r="A690">
        <v>689</v>
      </c>
      <c r="B690">
        <v>58</v>
      </c>
      <c r="C690" t="s">
        <v>16</v>
      </c>
      <c r="D690" t="s">
        <v>12</v>
      </c>
      <c r="E690" t="s">
        <v>13</v>
      </c>
      <c r="F690" s="38">
        <v>5802</v>
      </c>
      <c r="G690" t="s">
        <v>20</v>
      </c>
      <c r="H690" t="s">
        <v>21</v>
      </c>
      <c r="I690" s="38">
        <v>2181.6</v>
      </c>
      <c r="J690">
        <v>24</v>
      </c>
      <c r="K690">
        <v>0</v>
      </c>
    </row>
    <row r="691" spans="1:11">
      <c r="A691">
        <v>690</v>
      </c>
      <c r="B691">
        <v>41</v>
      </c>
      <c r="C691" t="s">
        <v>11</v>
      </c>
      <c r="D691" t="s">
        <v>12</v>
      </c>
      <c r="E691" t="s">
        <v>13</v>
      </c>
      <c r="F691" s="38">
        <v>6265</v>
      </c>
      <c r="G691" t="s">
        <v>14</v>
      </c>
      <c r="H691" t="s">
        <v>15</v>
      </c>
      <c r="I691" s="38">
        <v>548.1</v>
      </c>
      <c r="J691">
        <v>6</v>
      </c>
      <c r="K691">
        <v>0</v>
      </c>
    </row>
    <row r="692" hidden="1" spans="1:11">
      <c r="A692">
        <v>691</v>
      </c>
      <c r="B692">
        <v>34</v>
      </c>
      <c r="C692" t="s">
        <v>16</v>
      </c>
      <c r="D692" t="s">
        <v>24</v>
      </c>
      <c r="E692" t="s">
        <v>13</v>
      </c>
      <c r="F692" s="38">
        <v>5433</v>
      </c>
      <c r="G692" t="s">
        <v>18</v>
      </c>
      <c r="H692" t="s">
        <v>25</v>
      </c>
      <c r="I692" s="38">
        <v>8871.3</v>
      </c>
      <c r="J692">
        <v>36</v>
      </c>
      <c r="K692">
        <v>0</v>
      </c>
    </row>
    <row r="693" hidden="1" spans="1:11">
      <c r="A693">
        <v>692</v>
      </c>
      <c r="B693">
        <v>30</v>
      </c>
      <c r="C693" t="s">
        <v>16</v>
      </c>
      <c r="D693" t="s">
        <v>12</v>
      </c>
      <c r="E693" t="s">
        <v>13</v>
      </c>
      <c r="F693" s="38">
        <v>4746</v>
      </c>
      <c r="G693" t="s">
        <v>14</v>
      </c>
      <c r="H693" t="s">
        <v>21</v>
      </c>
      <c r="I693" s="38">
        <v>990.9</v>
      </c>
      <c r="J693">
        <v>12</v>
      </c>
      <c r="K693">
        <v>0</v>
      </c>
    </row>
    <row r="694" spans="1:11">
      <c r="A694">
        <v>693</v>
      </c>
      <c r="B694">
        <v>39</v>
      </c>
      <c r="C694" t="s">
        <v>11</v>
      </c>
      <c r="D694" t="s">
        <v>24</v>
      </c>
      <c r="E694" t="s">
        <v>13</v>
      </c>
      <c r="F694" s="38">
        <v>6111</v>
      </c>
      <c r="G694" t="s">
        <v>26</v>
      </c>
      <c r="H694" t="s">
        <v>21</v>
      </c>
      <c r="I694" s="38">
        <v>3102.3</v>
      </c>
      <c r="J694">
        <v>12</v>
      </c>
      <c r="K694">
        <v>0</v>
      </c>
    </row>
    <row r="695" spans="1:11">
      <c r="A695">
        <v>694</v>
      </c>
      <c r="B695">
        <v>35</v>
      </c>
      <c r="C695" t="s">
        <v>16</v>
      </c>
      <c r="D695" t="s">
        <v>24</v>
      </c>
      <c r="E695" t="s">
        <v>13</v>
      </c>
      <c r="F695" s="38">
        <v>6504</v>
      </c>
      <c r="G695" t="s">
        <v>14</v>
      </c>
      <c r="H695" t="s">
        <v>21</v>
      </c>
      <c r="I695" s="38">
        <v>1107.9</v>
      </c>
      <c r="J695">
        <v>10</v>
      </c>
      <c r="K695">
        <v>0</v>
      </c>
    </row>
    <row r="696" hidden="1" spans="1:11">
      <c r="A696">
        <v>695</v>
      </c>
      <c r="B696">
        <v>30</v>
      </c>
      <c r="C696" t="s">
        <v>16</v>
      </c>
      <c r="D696" t="s">
        <v>12</v>
      </c>
      <c r="E696" t="s">
        <v>13</v>
      </c>
      <c r="F696" s="38">
        <v>1934</v>
      </c>
      <c r="G696" t="s">
        <v>14</v>
      </c>
      <c r="H696" t="s">
        <v>15</v>
      </c>
      <c r="I696" s="38">
        <v>3618</v>
      </c>
      <c r="J696">
        <v>24</v>
      </c>
      <c r="K696">
        <v>0</v>
      </c>
    </row>
    <row r="697" hidden="1" spans="1:11">
      <c r="A697">
        <v>696</v>
      </c>
      <c r="B697">
        <v>37</v>
      </c>
      <c r="C697" t="s">
        <v>16</v>
      </c>
      <c r="D697" t="s">
        <v>12</v>
      </c>
      <c r="E697" t="s">
        <v>13</v>
      </c>
      <c r="F697" s="38">
        <v>2844</v>
      </c>
      <c r="G697" t="s">
        <v>14</v>
      </c>
      <c r="H697" t="s">
        <v>21</v>
      </c>
      <c r="I697" s="38">
        <v>2483.1</v>
      </c>
      <c r="J697">
        <v>12</v>
      </c>
      <c r="K697">
        <v>0</v>
      </c>
    </row>
    <row r="698" hidden="1" spans="1:11">
      <c r="A698">
        <v>697</v>
      </c>
      <c r="B698">
        <v>30</v>
      </c>
      <c r="C698" t="s">
        <v>16</v>
      </c>
      <c r="D698" t="s">
        <v>17</v>
      </c>
      <c r="E698" t="s">
        <v>13</v>
      </c>
      <c r="F698" s="38">
        <v>4711</v>
      </c>
      <c r="G698" t="s">
        <v>14</v>
      </c>
      <c r="H698" t="s">
        <v>21</v>
      </c>
      <c r="I698" s="38">
        <v>5682.6</v>
      </c>
      <c r="J698">
        <v>24</v>
      </c>
      <c r="K698">
        <v>0</v>
      </c>
    </row>
    <row r="699" spans="1:11">
      <c r="A699">
        <v>698</v>
      </c>
      <c r="B699">
        <v>32</v>
      </c>
      <c r="C699" t="s">
        <v>16</v>
      </c>
      <c r="D699" t="s">
        <v>24</v>
      </c>
      <c r="E699" t="s">
        <v>13</v>
      </c>
      <c r="F699" s="38">
        <v>6227</v>
      </c>
      <c r="G699" t="s">
        <v>20</v>
      </c>
      <c r="H699" t="s">
        <v>19</v>
      </c>
      <c r="I699" s="38">
        <v>2099.7</v>
      </c>
      <c r="J699">
        <v>24</v>
      </c>
      <c r="K699">
        <v>0</v>
      </c>
    </row>
    <row r="700" spans="1:11">
      <c r="A700">
        <v>699</v>
      </c>
      <c r="B700">
        <v>25</v>
      </c>
      <c r="C700" t="s">
        <v>11</v>
      </c>
      <c r="D700" t="s">
        <v>24</v>
      </c>
      <c r="E700" t="s">
        <v>22</v>
      </c>
      <c r="F700" s="38">
        <v>6769</v>
      </c>
      <c r="G700" t="s">
        <v>18</v>
      </c>
      <c r="H700" t="s">
        <v>25</v>
      </c>
      <c r="I700" s="38">
        <v>756.9</v>
      </c>
      <c r="J700">
        <v>12</v>
      </c>
      <c r="K700">
        <v>0</v>
      </c>
    </row>
    <row r="701" hidden="1" spans="1:11">
      <c r="A701">
        <v>700</v>
      </c>
      <c r="B701">
        <v>20</v>
      </c>
      <c r="C701" t="s">
        <v>11</v>
      </c>
      <c r="D701" t="s">
        <v>17</v>
      </c>
      <c r="E701" t="s">
        <v>13</v>
      </c>
      <c r="F701" s="38">
        <v>2310</v>
      </c>
      <c r="G701" t="s">
        <v>18</v>
      </c>
      <c r="H701" t="s">
        <v>15</v>
      </c>
      <c r="I701" s="38">
        <v>815.1</v>
      </c>
      <c r="J701">
        <v>12</v>
      </c>
      <c r="K701">
        <v>1</v>
      </c>
    </row>
    <row r="702" hidden="1" spans="1:11">
      <c r="A702">
        <v>701</v>
      </c>
      <c r="B702">
        <v>29</v>
      </c>
      <c r="C702" t="s">
        <v>11</v>
      </c>
      <c r="D702" t="s">
        <v>12</v>
      </c>
      <c r="E702" t="s">
        <v>22</v>
      </c>
      <c r="F702" s="38">
        <v>3277</v>
      </c>
      <c r="G702" t="s">
        <v>20</v>
      </c>
      <c r="H702" t="s">
        <v>15</v>
      </c>
      <c r="I702" s="38">
        <v>2530.8</v>
      </c>
      <c r="J702">
        <v>24</v>
      </c>
      <c r="K702">
        <v>0</v>
      </c>
    </row>
    <row r="703" hidden="1" spans="1:11">
      <c r="A703">
        <v>702</v>
      </c>
      <c r="B703">
        <v>51</v>
      </c>
      <c r="C703" t="s">
        <v>11</v>
      </c>
      <c r="D703" t="s">
        <v>12</v>
      </c>
      <c r="E703" t="s">
        <v>22</v>
      </c>
      <c r="F703" s="38">
        <v>1865</v>
      </c>
      <c r="G703" t="s">
        <v>14</v>
      </c>
      <c r="H703" t="s">
        <v>15</v>
      </c>
      <c r="I703" s="38">
        <v>1660.5</v>
      </c>
      <c r="J703">
        <v>15</v>
      </c>
      <c r="K703">
        <v>0</v>
      </c>
    </row>
    <row r="704" hidden="1" spans="1:11">
      <c r="A704">
        <v>703</v>
      </c>
      <c r="B704">
        <v>35</v>
      </c>
      <c r="C704" t="s">
        <v>16</v>
      </c>
      <c r="D704" t="s">
        <v>12</v>
      </c>
      <c r="E704" t="s">
        <v>13</v>
      </c>
      <c r="F704" s="38">
        <v>1859</v>
      </c>
      <c r="G704" t="s">
        <v>20</v>
      </c>
      <c r="H704" t="s">
        <v>21</v>
      </c>
      <c r="I704" s="38">
        <v>1672.2</v>
      </c>
      <c r="J704">
        <v>24</v>
      </c>
      <c r="K704">
        <v>0</v>
      </c>
    </row>
    <row r="705" hidden="1" spans="1:11">
      <c r="A705">
        <v>704</v>
      </c>
      <c r="B705">
        <v>39</v>
      </c>
      <c r="C705" t="s">
        <v>16</v>
      </c>
      <c r="D705" t="s">
        <v>12</v>
      </c>
      <c r="E705" t="s">
        <v>23</v>
      </c>
      <c r="F705" s="38">
        <v>5886</v>
      </c>
      <c r="G705" t="s">
        <v>14</v>
      </c>
      <c r="H705" t="s">
        <v>21</v>
      </c>
      <c r="I705" s="38">
        <v>1323.9</v>
      </c>
      <c r="J705">
        <v>15</v>
      </c>
      <c r="K705">
        <v>0</v>
      </c>
    </row>
    <row r="706" hidden="1" spans="1:11">
      <c r="A706">
        <v>705</v>
      </c>
      <c r="B706">
        <v>42</v>
      </c>
      <c r="C706" t="s">
        <v>16</v>
      </c>
      <c r="D706" t="s">
        <v>17</v>
      </c>
      <c r="E706" t="s">
        <v>13</v>
      </c>
      <c r="F706" s="38">
        <v>1481</v>
      </c>
      <c r="G706" t="s">
        <v>14</v>
      </c>
      <c r="H706" t="s">
        <v>25</v>
      </c>
      <c r="I706" s="38">
        <v>1329.9</v>
      </c>
      <c r="J706">
        <v>6</v>
      </c>
      <c r="K706">
        <v>1</v>
      </c>
    </row>
    <row r="707" hidden="1" spans="1:11">
      <c r="A707">
        <v>706</v>
      </c>
      <c r="B707">
        <v>36</v>
      </c>
      <c r="C707" t="s">
        <v>16</v>
      </c>
      <c r="D707" t="s">
        <v>12</v>
      </c>
      <c r="E707" t="s">
        <v>13</v>
      </c>
      <c r="F707" s="38">
        <v>2333</v>
      </c>
      <c r="G707" t="s">
        <v>14</v>
      </c>
      <c r="H707" t="s">
        <v>15</v>
      </c>
      <c r="I707" s="38">
        <v>4620</v>
      </c>
      <c r="J707">
        <v>18</v>
      </c>
      <c r="K707">
        <v>1</v>
      </c>
    </row>
    <row r="708" hidden="1" spans="1:11">
      <c r="A708">
        <v>707</v>
      </c>
      <c r="B708">
        <v>29</v>
      </c>
      <c r="C708" t="s">
        <v>16</v>
      </c>
      <c r="D708" t="s">
        <v>12</v>
      </c>
      <c r="E708" t="s">
        <v>13</v>
      </c>
      <c r="F708" s="38">
        <v>3762</v>
      </c>
      <c r="G708" t="s">
        <v>14</v>
      </c>
      <c r="H708" t="s">
        <v>25</v>
      </c>
      <c r="I708" s="38">
        <v>816.3</v>
      </c>
      <c r="J708">
        <v>8</v>
      </c>
      <c r="K708">
        <v>0</v>
      </c>
    </row>
    <row r="709" spans="1:11">
      <c r="A709">
        <v>708</v>
      </c>
      <c r="B709">
        <v>33</v>
      </c>
      <c r="C709" t="s">
        <v>16</v>
      </c>
      <c r="D709" t="s">
        <v>12</v>
      </c>
      <c r="E709" t="s">
        <v>13</v>
      </c>
      <c r="F709" s="38">
        <v>6172</v>
      </c>
      <c r="G709" t="s">
        <v>14</v>
      </c>
      <c r="H709" t="s">
        <v>15</v>
      </c>
      <c r="I709" s="38">
        <v>1441.8</v>
      </c>
      <c r="J709">
        <v>21</v>
      </c>
      <c r="K709">
        <v>0</v>
      </c>
    </row>
    <row r="710" hidden="1" spans="1:11">
      <c r="A710">
        <v>709</v>
      </c>
      <c r="B710">
        <v>40</v>
      </c>
      <c r="C710" t="s">
        <v>16</v>
      </c>
      <c r="D710" t="s">
        <v>12</v>
      </c>
      <c r="E710" t="s">
        <v>13</v>
      </c>
      <c r="F710" s="38">
        <v>3802</v>
      </c>
      <c r="G710" t="s">
        <v>20</v>
      </c>
      <c r="H710" t="s">
        <v>21</v>
      </c>
      <c r="I710" s="38">
        <v>6067.8</v>
      </c>
      <c r="J710">
        <v>30</v>
      </c>
      <c r="K710">
        <v>0</v>
      </c>
    </row>
    <row r="711" hidden="1" spans="1:11">
      <c r="A711">
        <v>710</v>
      </c>
      <c r="B711">
        <v>37</v>
      </c>
      <c r="C711" t="s">
        <v>11</v>
      </c>
      <c r="D711" t="s">
        <v>12</v>
      </c>
      <c r="E711" t="s">
        <v>13</v>
      </c>
      <c r="F711" s="38">
        <v>4946</v>
      </c>
      <c r="G711" t="s">
        <v>14</v>
      </c>
      <c r="H711" t="s">
        <v>21</v>
      </c>
      <c r="I711" s="38">
        <v>4008.6</v>
      </c>
      <c r="J711">
        <v>36</v>
      </c>
      <c r="K711">
        <v>0</v>
      </c>
    </row>
    <row r="712" hidden="1" spans="1:11">
      <c r="A712">
        <v>711</v>
      </c>
      <c r="B712">
        <v>30</v>
      </c>
      <c r="C712" t="s">
        <v>16</v>
      </c>
      <c r="D712" t="s">
        <v>17</v>
      </c>
      <c r="E712" t="s">
        <v>13</v>
      </c>
      <c r="F712" s="38">
        <v>3979</v>
      </c>
      <c r="G712" t="s">
        <v>14</v>
      </c>
      <c r="H712" t="s">
        <v>15</v>
      </c>
      <c r="I712" s="38">
        <v>3074.4</v>
      </c>
      <c r="J712">
        <v>27</v>
      </c>
      <c r="K712">
        <v>0</v>
      </c>
    </row>
    <row r="713" hidden="1" spans="1:11">
      <c r="A713">
        <v>712</v>
      </c>
      <c r="B713">
        <v>31</v>
      </c>
      <c r="C713" t="s">
        <v>16</v>
      </c>
      <c r="D713" t="s">
        <v>12</v>
      </c>
      <c r="E713" t="s">
        <v>13</v>
      </c>
      <c r="F713" s="38">
        <v>5632</v>
      </c>
      <c r="G713" t="s">
        <v>14</v>
      </c>
      <c r="H713" t="s">
        <v>21</v>
      </c>
      <c r="I713" s="38">
        <v>1271.7</v>
      </c>
      <c r="J713">
        <v>24</v>
      </c>
      <c r="K713">
        <v>0</v>
      </c>
    </row>
    <row r="714" spans="1:11">
      <c r="A714">
        <v>713</v>
      </c>
      <c r="B714">
        <v>48</v>
      </c>
      <c r="C714" t="s">
        <v>16</v>
      </c>
      <c r="D714" t="s">
        <v>12</v>
      </c>
      <c r="E714" t="s">
        <v>13</v>
      </c>
      <c r="F714" s="38">
        <v>6559</v>
      </c>
      <c r="G714" t="s">
        <v>20</v>
      </c>
      <c r="H714" t="s">
        <v>21</v>
      </c>
      <c r="I714" s="38">
        <v>3136.5</v>
      </c>
      <c r="J714">
        <v>20</v>
      </c>
      <c r="K714">
        <v>0</v>
      </c>
    </row>
    <row r="715" hidden="1" spans="1:11">
      <c r="A715">
        <v>714</v>
      </c>
      <c r="B715">
        <v>22</v>
      </c>
      <c r="C715" t="s">
        <v>11</v>
      </c>
      <c r="D715" t="s">
        <v>17</v>
      </c>
      <c r="E715" t="s">
        <v>22</v>
      </c>
      <c r="F715" s="38">
        <v>4196</v>
      </c>
      <c r="G715" t="s">
        <v>14</v>
      </c>
      <c r="H715" t="s">
        <v>15</v>
      </c>
      <c r="I715" s="38">
        <v>1327.7</v>
      </c>
      <c r="J715">
        <v>24</v>
      </c>
      <c r="K715">
        <v>1</v>
      </c>
    </row>
    <row r="716" hidden="1" spans="1:11">
      <c r="A716">
        <v>715</v>
      </c>
      <c r="B716">
        <v>26</v>
      </c>
      <c r="C716" t="s">
        <v>11</v>
      </c>
      <c r="D716" t="s">
        <v>12</v>
      </c>
      <c r="E716" t="s">
        <v>13</v>
      </c>
      <c r="F716" s="38">
        <v>2499</v>
      </c>
      <c r="G716" t="s">
        <v>20</v>
      </c>
      <c r="H716" t="s">
        <v>21</v>
      </c>
      <c r="I716" s="38">
        <v>5503.3</v>
      </c>
      <c r="J716">
        <v>21</v>
      </c>
      <c r="K716">
        <v>1</v>
      </c>
    </row>
    <row r="717" hidden="1" spans="1:11">
      <c r="A717">
        <v>716</v>
      </c>
      <c r="B717">
        <v>48</v>
      </c>
      <c r="C717" t="s">
        <v>16</v>
      </c>
      <c r="D717" t="s">
        <v>24</v>
      </c>
      <c r="E717" t="s">
        <v>13</v>
      </c>
      <c r="F717" s="38">
        <v>5054</v>
      </c>
      <c r="G717" t="s">
        <v>14</v>
      </c>
      <c r="H717" t="s">
        <v>25</v>
      </c>
      <c r="I717" s="38">
        <v>5583.6</v>
      </c>
      <c r="J717">
        <v>18</v>
      </c>
      <c r="K717">
        <v>0</v>
      </c>
    </row>
    <row r="718" hidden="1" spans="1:11">
      <c r="A718">
        <v>717</v>
      </c>
      <c r="B718">
        <v>31</v>
      </c>
      <c r="C718" t="s">
        <v>16</v>
      </c>
      <c r="D718" t="s">
        <v>12</v>
      </c>
      <c r="E718" t="s">
        <v>22</v>
      </c>
      <c r="F718" s="38">
        <v>1749</v>
      </c>
      <c r="G718" t="s">
        <v>14</v>
      </c>
      <c r="H718" t="s">
        <v>25</v>
      </c>
      <c r="I718" s="38">
        <v>3255.3</v>
      </c>
      <c r="J718">
        <v>12</v>
      </c>
      <c r="K718">
        <v>0</v>
      </c>
    </row>
    <row r="719" spans="1:11">
      <c r="A719">
        <v>718</v>
      </c>
      <c r="B719">
        <v>50</v>
      </c>
      <c r="C719" t="s">
        <v>16</v>
      </c>
      <c r="D719" t="s">
        <v>12</v>
      </c>
      <c r="E719" t="s">
        <v>23</v>
      </c>
      <c r="F719" s="38">
        <v>6114</v>
      </c>
      <c r="G719" t="s">
        <v>18</v>
      </c>
      <c r="H719" t="s">
        <v>15</v>
      </c>
      <c r="I719" s="38">
        <v>7093.8</v>
      </c>
      <c r="J719">
        <v>42</v>
      </c>
      <c r="K719">
        <v>0</v>
      </c>
    </row>
    <row r="720" hidden="1" spans="1:11">
      <c r="A720">
        <v>719</v>
      </c>
      <c r="B720">
        <v>47</v>
      </c>
      <c r="C720" t="s">
        <v>16</v>
      </c>
      <c r="D720" t="s">
        <v>12</v>
      </c>
      <c r="E720" t="s">
        <v>13</v>
      </c>
      <c r="F720" s="38">
        <v>2599</v>
      </c>
      <c r="G720" t="s">
        <v>14</v>
      </c>
      <c r="H720" t="s">
        <v>21</v>
      </c>
      <c r="I720" s="38">
        <v>2263.5</v>
      </c>
      <c r="J720">
        <v>18</v>
      </c>
      <c r="K720">
        <v>0</v>
      </c>
    </row>
    <row r="721" hidden="1" spans="1:11">
      <c r="A721">
        <v>720</v>
      </c>
      <c r="B721">
        <v>30</v>
      </c>
      <c r="C721" t="s">
        <v>16</v>
      </c>
      <c r="D721" t="s">
        <v>12</v>
      </c>
      <c r="E721" t="s">
        <v>13</v>
      </c>
      <c r="F721" s="38">
        <v>4061</v>
      </c>
      <c r="G721" t="s">
        <v>14</v>
      </c>
      <c r="H721" t="s">
        <v>25</v>
      </c>
      <c r="I721" s="38">
        <v>1251.9</v>
      </c>
      <c r="J721">
        <v>9</v>
      </c>
      <c r="K721">
        <v>0</v>
      </c>
    </row>
    <row r="722" hidden="1" spans="1:11">
      <c r="A722">
        <v>721</v>
      </c>
      <c r="B722">
        <v>34</v>
      </c>
      <c r="C722" t="s">
        <v>11</v>
      </c>
      <c r="D722" t="s">
        <v>12</v>
      </c>
      <c r="E722" t="s">
        <v>13</v>
      </c>
      <c r="F722" s="38">
        <v>3799</v>
      </c>
      <c r="G722" t="s">
        <v>14</v>
      </c>
      <c r="H722" t="s">
        <v>15</v>
      </c>
      <c r="I722" s="38">
        <v>1761.3</v>
      </c>
      <c r="J722">
        <v>6</v>
      </c>
      <c r="K722">
        <v>0</v>
      </c>
    </row>
    <row r="723" hidden="1" spans="1:11">
      <c r="A723">
        <v>722</v>
      </c>
      <c r="B723">
        <v>44</v>
      </c>
      <c r="C723" t="s">
        <v>16</v>
      </c>
      <c r="D723" t="s">
        <v>24</v>
      </c>
      <c r="E723" t="s">
        <v>22</v>
      </c>
      <c r="F723" s="38">
        <v>5407</v>
      </c>
      <c r="G723" t="s">
        <v>26</v>
      </c>
      <c r="H723" t="s">
        <v>21</v>
      </c>
      <c r="I723" s="38">
        <v>1437.3</v>
      </c>
      <c r="J723">
        <v>10</v>
      </c>
      <c r="K723">
        <v>0</v>
      </c>
    </row>
    <row r="724" hidden="1" spans="1:11">
      <c r="A724">
        <v>723</v>
      </c>
      <c r="B724">
        <v>40</v>
      </c>
      <c r="C724" t="s">
        <v>11</v>
      </c>
      <c r="D724" t="s">
        <v>12</v>
      </c>
      <c r="E724" t="s">
        <v>23</v>
      </c>
      <c r="F724" s="38">
        <v>2569</v>
      </c>
      <c r="G724" t="s">
        <v>18</v>
      </c>
      <c r="H724" t="s">
        <v>21</v>
      </c>
      <c r="I724" s="38">
        <v>11139.7</v>
      </c>
      <c r="J724">
        <v>48</v>
      </c>
      <c r="K724">
        <v>1</v>
      </c>
    </row>
    <row r="725" hidden="1" spans="1:11">
      <c r="A725">
        <v>724</v>
      </c>
      <c r="B725">
        <v>37</v>
      </c>
      <c r="C725" t="s">
        <v>16</v>
      </c>
      <c r="D725" t="s">
        <v>17</v>
      </c>
      <c r="E725" t="s">
        <v>13</v>
      </c>
      <c r="F725" s="38">
        <v>4086</v>
      </c>
      <c r="G725" t="s">
        <v>14</v>
      </c>
      <c r="H725" t="s">
        <v>21</v>
      </c>
      <c r="I725" s="38">
        <v>5952.6</v>
      </c>
      <c r="J725">
        <v>36</v>
      </c>
      <c r="K725">
        <v>0</v>
      </c>
    </row>
    <row r="726" spans="1:11">
      <c r="A726">
        <v>725</v>
      </c>
      <c r="B726">
        <v>41</v>
      </c>
      <c r="C726" t="s">
        <v>16</v>
      </c>
      <c r="D726" t="s">
        <v>12</v>
      </c>
      <c r="E726" t="s">
        <v>13</v>
      </c>
      <c r="F726" s="38">
        <v>6672</v>
      </c>
      <c r="G726" t="s">
        <v>14</v>
      </c>
      <c r="H726" t="s">
        <v>21</v>
      </c>
      <c r="I726" s="38">
        <v>3181.5</v>
      </c>
      <c r="J726">
        <v>36</v>
      </c>
      <c r="K726">
        <v>0</v>
      </c>
    </row>
    <row r="727" hidden="1" spans="1:11">
      <c r="A727">
        <v>726</v>
      </c>
      <c r="B727">
        <v>24</v>
      </c>
      <c r="C727" t="s">
        <v>11</v>
      </c>
      <c r="D727" t="s">
        <v>12</v>
      </c>
      <c r="E727" t="s">
        <v>22</v>
      </c>
      <c r="F727" s="38">
        <v>3678</v>
      </c>
      <c r="G727" t="s">
        <v>18</v>
      </c>
      <c r="H727" t="s">
        <v>19</v>
      </c>
      <c r="I727" s="38">
        <v>2116.4</v>
      </c>
      <c r="J727">
        <v>18</v>
      </c>
      <c r="K727">
        <v>1</v>
      </c>
    </row>
    <row r="728" hidden="1" spans="1:11">
      <c r="A728">
        <v>727</v>
      </c>
      <c r="B728">
        <v>23</v>
      </c>
      <c r="C728" t="s">
        <v>16</v>
      </c>
      <c r="D728" t="s">
        <v>17</v>
      </c>
      <c r="E728" t="s">
        <v>13</v>
      </c>
      <c r="F728" s="38">
        <v>3796</v>
      </c>
      <c r="G728" t="s">
        <v>14</v>
      </c>
      <c r="H728" t="s">
        <v>15</v>
      </c>
      <c r="I728" s="38">
        <v>2720.3</v>
      </c>
      <c r="J728">
        <v>18</v>
      </c>
      <c r="K728">
        <v>1</v>
      </c>
    </row>
    <row r="729" hidden="1" spans="1:11">
      <c r="A729">
        <v>728</v>
      </c>
      <c r="B729">
        <v>52</v>
      </c>
      <c r="C729" t="s">
        <v>16</v>
      </c>
      <c r="D729" t="s">
        <v>12</v>
      </c>
      <c r="E729" t="s">
        <v>23</v>
      </c>
      <c r="F729" s="38">
        <v>3260</v>
      </c>
      <c r="G729" t="s">
        <v>14</v>
      </c>
      <c r="H729" t="s">
        <v>21</v>
      </c>
      <c r="I729" s="38">
        <v>1785.6</v>
      </c>
      <c r="J729">
        <v>18</v>
      </c>
      <c r="K729">
        <v>0</v>
      </c>
    </row>
    <row r="730" hidden="1" spans="1:11">
      <c r="A730">
        <v>729</v>
      </c>
      <c r="B730">
        <v>24</v>
      </c>
      <c r="C730" t="s">
        <v>11</v>
      </c>
      <c r="D730" t="s">
        <v>12</v>
      </c>
      <c r="E730" t="s">
        <v>13</v>
      </c>
      <c r="F730" s="38">
        <v>4570</v>
      </c>
      <c r="G730" t="s">
        <v>14</v>
      </c>
      <c r="H730" t="s">
        <v>25</v>
      </c>
      <c r="I730" s="38">
        <v>1410.3</v>
      </c>
      <c r="J730">
        <v>12</v>
      </c>
      <c r="K730">
        <v>0</v>
      </c>
    </row>
    <row r="731" hidden="1" spans="1:11">
      <c r="A731">
        <v>730</v>
      </c>
      <c r="B731">
        <v>41</v>
      </c>
      <c r="C731" t="s">
        <v>16</v>
      </c>
      <c r="D731" t="s">
        <v>17</v>
      </c>
      <c r="E731" t="s">
        <v>13</v>
      </c>
      <c r="F731" s="38">
        <v>4645</v>
      </c>
      <c r="G731" t="s">
        <v>26</v>
      </c>
      <c r="H731" t="s">
        <v>21</v>
      </c>
      <c r="I731" s="38">
        <v>11474.1</v>
      </c>
      <c r="J731">
        <v>48</v>
      </c>
      <c r="K731">
        <v>0</v>
      </c>
    </row>
    <row r="732" hidden="1" spans="1:11">
      <c r="A732">
        <v>731</v>
      </c>
      <c r="B732">
        <v>40</v>
      </c>
      <c r="C732" t="s">
        <v>16</v>
      </c>
      <c r="D732" t="s">
        <v>12</v>
      </c>
      <c r="E732" t="s">
        <v>13</v>
      </c>
      <c r="F732" s="38">
        <v>4190</v>
      </c>
      <c r="G732" t="s">
        <v>20</v>
      </c>
      <c r="H732" t="s">
        <v>21</v>
      </c>
      <c r="I732" s="38">
        <v>2771.1</v>
      </c>
      <c r="J732">
        <v>36</v>
      </c>
      <c r="K732">
        <v>0</v>
      </c>
    </row>
    <row r="733" hidden="1" spans="1:11">
      <c r="A733">
        <v>732</v>
      </c>
      <c r="B733">
        <v>25</v>
      </c>
      <c r="C733" t="s">
        <v>16</v>
      </c>
      <c r="D733" t="s">
        <v>12</v>
      </c>
      <c r="E733" t="s">
        <v>13</v>
      </c>
      <c r="F733" s="38">
        <v>2110</v>
      </c>
      <c r="G733" t="s">
        <v>20</v>
      </c>
      <c r="H733" t="s">
        <v>19</v>
      </c>
      <c r="I733" s="38">
        <v>1032.9</v>
      </c>
      <c r="J733">
        <v>12</v>
      </c>
      <c r="K733">
        <v>1</v>
      </c>
    </row>
    <row r="734" hidden="1" spans="1:11">
      <c r="A734">
        <v>733</v>
      </c>
      <c r="B734">
        <v>26</v>
      </c>
      <c r="C734" t="s">
        <v>16</v>
      </c>
      <c r="D734" t="s">
        <v>12</v>
      </c>
      <c r="E734" t="s">
        <v>13</v>
      </c>
      <c r="F734" s="38">
        <v>3994</v>
      </c>
      <c r="G734" t="s">
        <v>14</v>
      </c>
      <c r="H734" t="s">
        <v>15</v>
      </c>
      <c r="I734" s="38">
        <v>2437.6</v>
      </c>
      <c r="J734">
        <v>12</v>
      </c>
      <c r="K734">
        <v>1</v>
      </c>
    </row>
    <row r="735" spans="1:11">
      <c r="A735">
        <v>734</v>
      </c>
      <c r="B735">
        <v>44</v>
      </c>
      <c r="C735" t="s">
        <v>16</v>
      </c>
      <c r="D735" t="s">
        <v>24</v>
      </c>
      <c r="E735" t="s">
        <v>13</v>
      </c>
      <c r="F735" s="38">
        <v>6403</v>
      </c>
      <c r="G735" t="s">
        <v>14</v>
      </c>
      <c r="H735" t="s">
        <v>25</v>
      </c>
      <c r="I735" s="38">
        <v>1039.5</v>
      </c>
      <c r="J735">
        <v>12</v>
      </c>
      <c r="K735">
        <v>0</v>
      </c>
    </row>
    <row r="736" hidden="1" spans="1:11">
      <c r="A736">
        <v>735</v>
      </c>
      <c r="B736">
        <v>19</v>
      </c>
      <c r="C736" t="s">
        <v>11</v>
      </c>
      <c r="D736" t="s">
        <v>12</v>
      </c>
      <c r="E736" t="s">
        <v>22</v>
      </c>
      <c r="F736" s="38">
        <v>3509</v>
      </c>
      <c r="G736" t="s">
        <v>20</v>
      </c>
      <c r="H736" t="s">
        <v>21</v>
      </c>
      <c r="I736" s="38">
        <v>2827</v>
      </c>
      <c r="J736">
        <v>27</v>
      </c>
      <c r="K736">
        <v>1</v>
      </c>
    </row>
    <row r="737" hidden="1" spans="1:11">
      <c r="A737">
        <v>736</v>
      </c>
      <c r="B737">
        <v>63</v>
      </c>
      <c r="C737" t="s">
        <v>11</v>
      </c>
      <c r="D737" t="s">
        <v>12</v>
      </c>
      <c r="E737" t="s">
        <v>22</v>
      </c>
      <c r="F737" s="38">
        <v>4691</v>
      </c>
      <c r="G737" t="s">
        <v>26</v>
      </c>
      <c r="H737" t="s">
        <v>15</v>
      </c>
      <c r="I737" s="38">
        <v>3259.8</v>
      </c>
      <c r="J737">
        <v>30</v>
      </c>
      <c r="K737">
        <v>0</v>
      </c>
    </row>
    <row r="738" hidden="1" spans="1:11">
      <c r="A738">
        <v>737</v>
      </c>
      <c r="B738">
        <v>40</v>
      </c>
      <c r="C738" t="s">
        <v>16</v>
      </c>
      <c r="D738" t="s">
        <v>12</v>
      </c>
      <c r="E738" t="s">
        <v>13</v>
      </c>
      <c r="F738" s="38">
        <v>2140</v>
      </c>
      <c r="G738" t="s">
        <v>26</v>
      </c>
      <c r="H738" t="s">
        <v>21</v>
      </c>
      <c r="I738" s="38">
        <v>3637.8</v>
      </c>
      <c r="J738">
        <v>42</v>
      </c>
      <c r="K738">
        <v>0</v>
      </c>
    </row>
    <row r="739" hidden="1" spans="1:11">
      <c r="A739">
        <v>738</v>
      </c>
      <c r="B739">
        <v>51</v>
      </c>
      <c r="C739" t="s">
        <v>11</v>
      </c>
      <c r="D739" t="s">
        <v>17</v>
      </c>
      <c r="E739" t="s">
        <v>13</v>
      </c>
      <c r="F739" s="38">
        <v>3884</v>
      </c>
      <c r="G739" t="s">
        <v>18</v>
      </c>
      <c r="H739" t="s">
        <v>21</v>
      </c>
      <c r="I739" s="38">
        <v>16467</v>
      </c>
      <c r="J739">
        <v>30</v>
      </c>
      <c r="K739">
        <v>1</v>
      </c>
    </row>
    <row r="740" hidden="1" spans="1:11">
      <c r="A740">
        <v>739</v>
      </c>
      <c r="B740">
        <v>48</v>
      </c>
      <c r="C740" t="s">
        <v>11</v>
      </c>
      <c r="D740" t="s">
        <v>17</v>
      </c>
      <c r="E740" t="s">
        <v>23</v>
      </c>
      <c r="F740" s="38">
        <v>4783</v>
      </c>
      <c r="G740" t="s">
        <v>14</v>
      </c>
      <c r="H740" t="s">
        <v>15</v>
      </c>
      <c r="I740" s="38">
        <v>5777.1</v>
      </c>
      <c r="J740">
        <v>24</v>
      </c>
      <c r="K740">
        <v>0</v>
      </c>
    </row>
    <row r="741" hidden="1" spans="1:11">
      <c r="A741">
        <v>740</v>
      </c>
      <c r="B741">
        <v>29</v>
      </c>
      <c r="C741" t="s">
        <v>11</v>
      </c>
      <c r="D741" t="s">
        <v>17</v>
      </c>
      <c r="E741" t="s">
        <v>13</v>
      </c>
      <c r="F741" s="38">
        <v>3895</v>
      </c>
      <c r="G741" t="s">
        <v>14</v>
      </c>
      <c r="H741" t="s">
        <v>15</v>
      </c>
      <c r="I741" s="38">
        <v>9801</v>
      </c>
      <c r="J741">
        <v>36</v>
      </c>
      <c r="K741">
        <v>1</v>
      </c>
    </row>
    <row r="742" hidden="1" spans="1:11">
      <c r="A742">
        <v>741</v>
      </c>
      <c r="B742">
        <v>33</v>
      </c>
      <c r="C742" t="s">
        <v>16</v>
      </c>
      <c r="D742" t="s">
        <v>12</v>
      </c>
      <c r="E742" t="s">
        <v>23</v>
      </c>
      <c r="F742" s="38">
        <v>2683</v>
      </c>
      <c r="G742" t="s">
        <v>18</v>
      </c>
      <c r="H742" t="s">
        <v>25</v>
      </c>
      <c r="I742" s="38">
        <v>2762.1</v>
      </c>
      <c r="J742">
        <v>24</v>
      </c>
      <c r="K742">
        <v>0</v>
      </c>
    </row>
    <row r="743" hidden="1" spans="1:11">
      <c r="A743">
        <v>742</v>
      </c>
      <c r="B743">
        <v>31</v>
      </c>
      <c r="C743" t="s">
        <v>11</v>
      </c>
      <c r="D743" t="s">
        <v>12</v>
      </c>
      <c r="E743" t="s">
        <v>22</v>
      </c>
      <c r="F743" s="38">
        <v>5917</v>
      </c>
      <c r="G743" t="s">
        <v>26</v>
      </c>
      <c r="H743" t="s">
        <v>21</v>
      </c>
      <c r="I743" s="38">
        <v>2342.7</v>
      </c>
      <c r="J743">
        <v>24</v>
      </c>
      <c r="K743">
        <v>0</v>
      </c>
    </row>
    <row r="744" hidden="1" spans="1:11">
      <c r="A744">
        <v>743</v>
      </c>
      <c r="B744">
        <v>24</v>
      </c>
      <c r="C744" t="s">
        <v>11</v>
      </c>
      <c r="D744" t="s">
        <v>24</v>
      </c>
      <c r="E744" t="s">
        <v>13</v>
      </c>
      <c r="F744" s="38">
        <v>4022</v>
      </c>
      <c r="G744" t="s">
        <v>14</v>
      </c>
      <c r="H744" t="s">
        <v>15</v>
      </c>
      <c r="I744" s="38">
        <v>725.4</v>
      </c>
      <c r="J744">
        <v>15</v>
      </c>
      <c r="K744">
        <v>0</v>
      </c>
    </row>
    <row r="745" hidden="1" spans="1:11">
      <c r="A745">
        <v>744</v>
      </c>
      <c r="B745">
        <v>32</v>
      </c>
      <c r="C745" t="s">
        <v>16</v>
      </c>
      <c r="D745" t="s">
        <v>24</v>
      </c>
      <c r="E745" t="s">
        <v>13</v>
      </c>
      <c r="F745" s="38">
        <v>2197</v>
      </c>
      <c r="G745" t="s">
        <v>20</v>
      </c>
      <c r="H745" t="s">
        <v>19</v>
      </c>
      <c r="I745" s="38">
        <v>1344.6</v>
      </c>
      <c r="J745">
        <v>4</v>
      </c>
      <c r="K745">
        <v>0</v>
      </c>
    </row>
    <row r="746" hidden="1" spans="1:11">
      <c r="A746">
        <v>745</v>
      </c>
      <c r="B746">
        <v>25</v>
      </c>
      <c r="C746" t="s">
        <v>11</v>
      </c>
      <c r="D746" t="s">
        <v>12</v>
      </c>
      <c r="E746" t="s">
        <v>22</v>
      </c>
      <c r="F746" s="38">
        <v>5768</v>
      </c>
      <c r="G746" t="s">
        <v>14</v>
      </c>
      <c r="H746" t="s">
        <v>21</v>
      </c>
      <c r="I746" s="38">
        <v>1931.4</v>
      </c>
      <c r="J746">
        <v>10</v>
      </c>
      <c r="K746">
        <v>0</v>
      </c>
    </row>
    <row r="747" hidden="1" spans="1:11">
      <c r="A747">
        <v>746</v>
      </c>
      <c r="B747">
        <v>37</v>
      </c>
      <c r="C747" t="s">
        <v>16</v>
      </c>
      <c r="D747" t="s">
        <v>12</v>
      </c>
      <c r="E747" t="s">
        <v>13</v>
      </c>
      <c r="F747" s="38">
        <v>5198</v>
      </c>
      <c r="G747" t="s">
        <v>26</v>
      </c>
      <c r="H747" t="s">
        <v>25</v>
      </c>
      <c r="I747" s="38">
        <v>3146.4</v>
      </c>
      <c r="J747">
        <v>30</v>
      </c>
      <c r="K747">
        <v>0</v>
      </c>
    </row>
    <row r="748" hidden="1" spans="1:11">
      <c r="A748">
        <v>747</v>
      </c>
      <c r="B748">
        <v>39</v>
      </c>
      <c r="C748" t="s">
        <v>16</v>
      </c>
      <c r="D748" t="s">
        <v>12</v>
      </c>
      <c r="E748" t="s">
        <v>13</v>
      </c>
      <c r="F748" s="38">
        <v>5390</v>
      </c>
      <c r="G748" t="s">
        <v>26</v>
      </c>
      <c r="H748" t="s">
        <v>15</v>
      </c>
      <c r="I748" s="38">
        <v>1512</v>
      </c>
      <c r="J748">
        <v>12</v>
      </c>
      <c r="K748">
        <v>0</v>
      </c>
    </row>
    <row r="749" hidden="1" spans="1:11">
      <c r="A749">
        <v>748</v>
      </c>
      <c r="B749">
        <v>57</v>
      </c>
      <c r="C749" t="s">
        <v>16</v>
      </c>
      <c r="D749" t="s">
        <v>12</v>
      </c>
      <c r="E749" t="s">
        <v>13</v>
      </c>
      <c r="F749" s="38">
        <v>4308</v>
      </c>
      <c r="G749" t="s">
        <v>18</v>
      </c>
      <c r="H749" t="s">
        <v>21</v>
      </c>
      <c r="I749" s="38">
        <v>2000.7</v>
      </c>
      <c r="J749">
        <v>24</v>
      </c>
      <c r="K749">
        <v>0</v>
      </c>
    </row>
    <row r="750" hidden="1" spans="1:11">
      <c r="A750">
        <v>749</v>
      </c>
      <c r="B750">
        <v>39</v>
      </c>
      <c r="C750" t="s">
        <v>16</v>
      </c>
      <c r="D750" t="s">
        <v>17</v>
      </c>
      <c r="E750" t="s">
        <v>13</v>
      </c>
      <c r="F750" s="38">
        <v>5436</v>
      </c>
      <c r="G750" t="s">
        <v>14</v>
      </c>
      <c r="H750" t="s">
        <v>25</v>
      </c>
      <c r="I750" s="38">
        <v>945</v>
      </c>
      <c r="J750">
        <v>6</v>
      </c>
      <c r="K750">
        <v>0</v>
      </c>
    </row>
    <row r="751" hidden="1" spans="1:11">
      <c r="A751">
        <v>750</v>
      </c>
      <c r="B751">
        <v>38</v>
      </c>
      <c r="C751" t="s">
        <v>16</v>
      </c>
      <c r="D751" t="s">
        <v>12</v>
      </c>
      <c r="E751" t="s">
        <v>13</v>
      </c>
      <c r="F751" s="38">
        <v>2424</v>
      </c>
      <c r="G751" t="s">
        <v>18</v>
      </c>
      <c r="H751" t="s">
        <v>21</v>
      </c>
      <c r="I751" s="38">
        <v>5126.4</v>
      </c>
      <c r="J751">
        <v>10</v>
      </c>
      <c r="K751">
        <v>0</v>
      </c>
    </row>
    <row r="752" hidden="1" spans="1:11">
      <c r="A752">
        <v>751</v>
      </c>
      <c r="B752">
        <v>54</v>
      </c>
      <c r="C752" t="s">
        <v>11</v>
      </c>
      <c r="D752" t="s">
        <v>17</v>
      </c>
      <c r="E752" t="s">
        <v>23</v>
      </c>
      <c r="F752" s="38">
        <v>1553</v>
      </c>
      <c r="G752" t="s">
        <v>20</v>
      </c>
      <c r="H752" t="s">
        <v>25</v>
      </c>
      <c r="I752" s="38">
        <v>16260.2</v>
      </c>
      <c r="J752">
        <v>60</v>
      </c>
      <c r="K752">
        <v>1</v>
      </c>
    </row>
    <row r="753" hidden="1" spans="1:11">
      <c r="A753">
        <v>752</v>
      </c>
      <c r="B753">
        <v>55</v>
      </c>
      <c r="C753" t="s">
        <v>16</v>
      </c>
      <c r="D753" t="s">
        <v>17</v>
      </c>
      <c r="E753" t="s">
        <v>23</v>
      </c>
      <c r="F753" s="38">
        <v>3008</v>
      </c>
      <c r="G753" t="s">
        <v>18</v>
      </c>
      <c r="H753" t="s">
        <v>15</v>
      </c>
      <c r="I753" s="38">
        <v>2148.3</v>
      </c>
      <c r="J753">
        <v>36</v>
      </c>
      <c r="K753">
        <v>1</v>
      </c>
    </row>
    <row r="754" hidden="1" spans="1:11">
      <c r="A754">
        <v>753</v>
      </c>
      <c r="B754">
        <v>28</v>
      </c>
      <c r="C754" t="s">
        <v>16</v>
      </c>
      <c r="D754" t="s">
        <v>17</v>
      </c>
      <c r="E754" t="s">
        <v>13</v>
      </c>
      <c r="F754" s="38">
        <v>2869</v>
      </c>
      <c r="G754" t="s">
        <v>14</v>
      </c>
      <c r="H754" t="s">
        <v>21</v>
      </c>
      <c r="I754" s="38">
        <v>3052.5</v>
      </c>
      <c r="J754">
        <v>18</v>
      </c>
      <c r="K754">
        <v>1</v>
      </c>
    </row>
    <row r="755" hidden="1" spans="1:11">
      <c r="A755">
        <v>754</v>
      </c>
      <c r="B755">
        <v>22</v>
      </c>
      <c r="C755" t="s">
        <v>16</v>
      </c>
      <c r="D755" t="s">
        <v>12</v>
      </c>
      <c r="E755" t="s">
        <v>22</v>
      </c>
      <c r="F755" s="38">
        <v>2427</v>
      </c>
      <c r="G755" t="s">
        <v>14</v>
      </c>
      <c r="H755" t="s">
        <v>15</v>
      </c>
      <c r="I755" s="38">
        <v>1984.4</v>
      </c>
      <c r="J755">
        <v>12</v>
      </c>
      <c r="K755">
        <v>1</v>
      </c>
    </row>
    <row r="756" hidden="1" spans="1:11">
      <c r="A756">
        <v>755</v>
      </c>
      <c r="B756">
        <v>18</v>
      </c>
      <c r="C756" t="s">
        <v>11</v>
      </c>
      <c r="D756" t="s">
        <v>12</v>
      </c>
      <c r="E756" t="s">
        <v>22</v>
      </c>
      <c r="F756" s="38">
        <v>2003</v>
      </c>
      <c r="G756" t="s">
        <v>20</v>
      </c>
      <c r="H756" t="s">
        <v>15</v>
      </c>
      <c r="I756" s="38">
        <v>1410.2</v>
      </c>
      <c r="J756">
        <v>12</v>
      </c>
      <c r="K756">
        <v>1</v>
      </c>
    </row>
    <row r="757" hidden="1" spans="1:11">
      <c r="A757">
        <v>756</v>
      </c>
      <c r="B757">
        <v>55</v>
      </c>
      <c r="C757" t="s">
        <v>11</v>
      </c>
      <c r="D757" t="s">
        <v>24</v>
      </c>
      <c r="E757" t="s">
        <v>13</v>
      </c>
      <c r="F757" s="38">
        <v>2771</v>
      </c>
      <c r="G757" t="s">
        <v>14</v>
      </c>
      <c r="H757" t="s">
        <v>19</v>
      </c>
      <c r="I757" s="38">
        <v>942.3</v>
      </c>
      <c r="J757">
        <v>6</v>
      </c>
      <c r="K757">
        <v>0</v>
      </c>
    </row>
    <row r="758" hidden="1" spans="1:11">
      <c r="A758">
        <v>757</v>
      </c>
      <c r="B758">
        <v>24</v>
      </c>
      <c r="C758" t="s">
        <v>11</v>
      </c>
      <c r="D758" t="s">
        <v>12</v>
      </c>
      <c r="E758" t="s">
        <v>22</v>
      </c>
      <c r="F758" s="38">
        <v>1878</v>
      </c>
      <c r="G758" t="s">
        <v>18</v>
      </c>
      <c r="H758" t="s">
        <v>21</v>
      </c>
      <c r="I758" s="38">
        <v>2070.9</v>
      </c>
      <c r="J758">
        <v>9</v>
      </c>
      <c r="K758">
        <v>0</v>
      </c>
    </row>
    <row r="759" hidden="1" spans="1:11">
      <c r="A759">
        <v>758</v>
      </c>
      <c r="B759">
        <v>56</v>
      </c>
      <c r="C759" t="s">
        <v>16</v>
      </c>
      <c r="D759" t="s">
        <v>12</v>
      </c>
      <c r="E759" t="s">
        <v>23</v>
      </c>
      <c r="F759" s="38">
        <v>5240</v>
      </c>
      <c r="G759" t="s">
        <v>14</v>
      </c>
      <c r="H759" t="s">
        <v>19</v>
      </c>
      <c r="I759" s="38">
        <v>2602.8</v>
      </c>
      <c r="J759">
        <v>24</v>
      </c>
      <c r="K759">
        <v>0</v>
      </c>
    </row>
    <row r="760" spans="1:11">
      <c r="A760">
        <v>759</v>
      </c>
      <c r="B760">
        <v>39</v>
      </c>
      <c r="C760" t="s">
        <v>16</v>
      </c>
      <c r="D760" t="s">
        <v>12</v>
      </c>
      <c r="E760" t="s">
        <v>13</v>
      </c>
      <c r="F760" s="38">
        <v>6164</v>
      </c>
      <c r="G760" t="s">
        <v>14</v>
      </c>
      <c r="H760" t="s">
        <v>25</v>
      </c>
      <c r="I760" s="38">
        <v>2318.4</v>
      </c>
      <c r="J760">
        <v>7</v>
      </c>
      <c r="K760">
        <v>0</v>
      </c>
    </row>
    <row r="761" hidden="1" spans="1:11">
      <c r="A761">
        <v>760</v>
      </c>
      <c r="B761">
        <v>45</v>
      </c>
      <c r="C761" t="s">
        <v>16</v>
      </c>
      <c r="D761" t="s">
        <v>17</v>
      </c>
      <c r="E761" t="s">
        <v>13</v>
      </c>
      <c r="F761" s="38">
        <v>3363</v>
      </c>
      <c r="G761" t="s">
        <v>14</v>
      </c>
      <c r="H761" t="s">
        <v>25</v>
      </c>
      <c r="I761" s="38">
        <v>6462</v>
      </c>
      <c r="J761">
        <v>18</v>
      </c>
      <c r="K761">
        <v>0</v>
      </c>
    </row>
    <row r="762" hidden="1" spans="1:11">
      <c r="A762">
        <v>761</v>
      </c>
      <c r="B762">
        <v>59</v>
      </c>
      <c r="C762" t="s">
        <v>16</v>
      </c>
      <c r="D762" t="s">
        <v>12</v>
      </c>
      <c r="E762" t="s">
        <v>23</v>
      </c>
      <c r="F762" s="38">
        <v>4196</v>
      </c>
      <c r="G762" t="s">
        <v>14</v>
      </c>
      <c r="H762" t="s">
        <v>21</v>
      </c>
      <c r="I762" s="38">
        <v>1437.3</v>
      </c>
      <c r="J762">
        <v>24</v>
      </c>
      <c r="K762">
        <v>0</v>
      </c>
    </row>
    <row r="763" hidden="1" spans="1:11">
      <c r="A763">
        <v>762</v>
      </c>
      <c r="B763">
        <v>52</v>
      </c>
      <c r="C763" t="s">
        <v>16</v>
      </c>
      <c r="D763" t="s">
        <v>24</v>
      </c>
      <c r="E763" t="s">
        <v>13</v>
      </c>
      <c r="F763" s="38">
        <v>5420</v>
      </c>
      <c r="G763" t="s">
        <v>26</v>
      </c>
      <c r="H763" t="s">
        <v>21</v>
      </c>
      <c r="I763" s="38">
        <v>1184.4</v>
      </c>
      <c r="J763">
        <v>15</v>
      </c>
      <c r="K763">
        <v>0</v>
      </c>
    </row>
    <row r="764" hidden="1" spans="1:11">
      <c r="A764">
        <v>763</v>
      </c>
      <c r="B764">
        <v>26</v>
      </c>
      <c r="C764" t="s">
        <v>16</v>
      </c>
      <c r="D764" t="s">
        <v>12</v>
      </c>
      <c r="E764" t="s">
        <v>13</v>
      </c>
      <c r="F764" s="38">
        <v>2124</v>
      </c>
      <c r="G764" t="s">
        <v>26</v>
      </c>
      <c r="H764" t="s">
        <v>21</v>
      </c>
      <c r="I764" s="38">
        <v>1872</v>
      </c>
      <c r="J764">
        <v>6</v>
      </c>
      <c r="K764">
        <v>0</v>
      </c>
    </row>
    <row r="765" hidden="1" spans="1:11">
      <c r="A765">
        <v>764</v>
      </c>
      <c r="B765">
        <v>51</v>
      </c>
      <c r="C765" t="s">
        <v>16</v>
      </c>
      <c r="D765" t="s">
        <v>17</v>
      </c>
      <c r="E765" t="s">
        <v>13</v>
      </c>
      <c r="F765" s="38">
        <v>4568</v>
      </c>
      <c r="G765" t="s">
        <v>20</v>
      </c>
      <c r="H765" t="s">
        <v>21</v>
      </c>
      <c r="I765" s="38">
        <v>6348.6</v>
      </c>
      <c r="J765">
        <v>12</v>
      </c>
      <c r="K765">
        <v>0</v>
      </c>
    </row>
    <row r="766" hidden="1" spans="1:11">
      <c r="A766">
        <v>765</v>
      </c>
      <c r="B766">
        <v>32</v>
      </c>
      <c r="C766" t="s">
        <v>16</v>
      </c>
      <c r="D766" t="s">
        <v>12</v>
      </c>
      <c r="E766" t="s">
        <v>13</v>
      </c>
      <c r="F766" s="38">
        <v>1612</v>
      </c>
      <c r="G766" t="s">
        <v>20</v>
      </c>
      <c r="H766" t="s">
        <v>21</v>
      </c>
      <c r="I766" s="38">
        <v>2636.7</v>
      </c>
      <c r="J766">
        <v>24</v>
      </c>
      <c r="K766">
        <v>1</v>
      </c>
    </row>
    <row r="767" hidden="1" spans="1:11">
      <c r="A767">
        <v>766</v>
      </c>
      <c r="B767">
        <v>28</v>
      </c>
      <c r="C767" t="s">
        <v>16</v>
      </c>
      <c r="D767" t="s">
        <v>12</v>
      </c>
      <c r="E767" t="s">
        <v>22</v>
      </c>
      <c r="F767" s="38">
        <v>2691</v>
      </c>
      <c r="G767" t="s">
        <v>14</v>
      </c>
      <c r="H767" t="s">
        <v>15</v>
      </c>
      <c r="I767" s="38">
        <v>3477.1</v>
      </c>
      <c r="J767">
        <v>24</v>
      </c>
      <c r="K767">
        <v>1</v>
      </c>
    </row>
    <row r="768" spans="1:11">
      <c r="A768">
        <v>767</v>
      </c>
      <c r="B768">
        <v>42</v>
      </c>
      <c r="C768" t="s">
        <v>16</v>
      </c>
      <c r="D768" t="s">
        <v>12</v>
      </c>
      <c r="E768" t="s">
        <v>13</v>
      </c>
      <c r="F768" s="38">
        <v>6069</v>
      </c>
      <c r="G768" t="s">
        <v>14</v>
      </c>
      <c r="H768" t="s">
        <v>21</v>
      </c>
      <c r="I768" s="38">
        <v>1731.6</v>
      </c>
      <c r="J768">
        <v>10</v>
      </c>
      <c r="K768">
        <v>0</v>
      </c>
    </row>
    <row r="769" hidden="1" spans="1:11">
      <c r="A769">
        <v>768</v>
      </c>
      <c r="B769">
        <v>46</v>
      </c>
      <c r="C769" t="s">
        <v>16</v>
      </c>
      <c r="D769" t="s">
        <v>12</v>
      </c>
      <c r="E769" t="s">
        <v>23</v>
      </c>
      <c r="F769" s="38">
        <v>3962</v>
      </c>
      <c r="G769" t="s">
        <v>18</v>
      </c>
      <c r="H769" t="s">
        <v>21</v>
      </c>
      <c r="I769" s="38">
        <v>1211.4</v>
      </c>
      <c r="J769">
        <v>6</v>
      </c>
      <c r="K769">
        <v>0</v>
      </c>
    </row>
    <row r="770" hidden="1" spans="1:11">
      <c r="A770">
        <v>769</v>
      </c>
      <c r="B770">
        <v>61</v>
      </c>
      <c r="C770" t="s">
        <v>11</v>
      </c>
      <c r="D770" t="s">
        <v>17</v>
      </c>
      <c r="E770" t="s">
        <v>22</v>
      </c>
      <c r="F770" s="38">
        <v>2772</v>
      </c>
      <c r="G770" t="s">
        <v>14</v>
      </c>
      <c r="H770" t="s">
        <v>21</v>
      </c>
      <c r="I770" s="38">
        <v>6422.4</v>
      </c>
      <c r="J770">
        <v>15</v>
      </c>
      <c r="K770">
        <v>0</v>
      </c>
    </row>
    <row r="771" hidden="1" spans="1:11">
      <c r="A771">
        <v>770</v>
      </c>
      <c r="B771">
        <v>31</v>
      </c>
      <c r="C771" t="s">
        <v>16</v>
      </c>
      <c r="D771" t="s">
        <v>12</v>
      </c>
      <c r="E771" t="s">
        <v>13</v>
      </c>
      <c r="F771" s="38">
        <v>2268</v>
      </c>
      <c r="G771" t="s">
        <v>26</v>
      </c>
      <c r="H771" t="s">
        <v>19</v>
      </c>
      <c r="I771" s="38">
        <v>8236.8</v>
      </c>
      <c r="J771">
        <v>45</v>
      </c>
      <c r="K771">
        <v>0</v>
      </c>
    </row>
    <row r="772" hidden="1" spans="1:11">
      <c r="A772">
        <v>771</v>
      </c>
      <c r="B772">
        <v>22</v>
      </c>
      <c r="C772" t="s">
        <v>11</v>
      </c>
      <c r="D772" t="s">
        <v>12</v>
      </c>
      <c r="E772" t="s">
        <v>22</v>
      </c>
      <c r="F772" s="38">
        <v>3387</v>
      </c>
      <c r="G772" t="s">
        <v>20</v>
      </c>
      <c r="H772" t="s">
        <v>25</v>
      </c>
      <c r="I772" s="38">
        <v>476.3</v>
      </c>
      <c r="J772">
        <v>6</v>
      </c>
      <c r="K772">
        <v>1</v>
      </c>
    </row>
    <row r="773" hidden="1" spans="1:11">
      <c r="A773">
        <v>772</v>
      </c>
      <c r="B773">
        <v>35</v>
      </c>
      <c r="C773" t="s">
        <v>16</v>
      </c>
      <c r="D773" t="s">
        <v>12</v>
      </c>
      <c r="E773" t="s">
        <v>13</v>
      </c>
      <c r="F773" s="38">
        <v>3056</v>
      </c>
      <c r="G773" t="s">
        <v>20</v>
      </c>
      <c r="H773" t="s">
        <v>21</v>
      </c>
      <c r="I773" s="38">
        <v>6514.2</v>
      </c>
      <c r="J773">
        <v>48</v>
      </c>
      <c r="K773">
        <v>0</v>
      </c>
    </row>
    <row r="774" hidden="1" spans="1:11">
      <c r="A774">
        <v>773</v>
      </c>
      <c r="B774">
        <v>74</v>
      </c>
      <c r="C774" t="s">
        <v>16</v>
      </c>
      <c r="D774" t="s">
        <v>12</v>
      </c>
      <c r="E774" t="s">
        <v>13</v>
      </c>
      <c r="F774" s="38">
        <v>3616</v>
      </c>
      <c r="G774" t="s">
        <v>20</v>
      </c>
      <c r="H774" t="s">
        <v>15</v>
      </c>
      <c r="I774" s="38">
        <v>1052.1</v>
      </c>
      <c r="J774">
        <v>6</v>
      </c>
      <c r="K774">
        <v>0</v>
      </c>
    </row>
    <row r="775" hidden="1" spans="1:11">
      <c r="A775">
        <v>774</v>
      </c>
      <c r="B775">
        <v>21</v>
      </c>
      <c r="C775" t="s">
        <v>16</v>
      </c>
      <c r="D775" t="s">
        <v>12</v>
      </c>
      <c r="E775" t="s">
        <v>23</v>
      </c>
      <c r="F775" s="38">
        <v>2483</v>
      </c>
      <c r="G775" t="s">
        <v>14</v>
      </c>
      <c r="H775" t="s">
        <v>15</v>
      </c>
      <c r="I775" s="38">
        <v>2029.5</v>
      </c>
      <c r="J775">
        <v>45</v>
      </c>
      <c r="K775">
        <v>1</v>
      </c>
    </row>
    <row r="776" spans="1:11">
      <c r="A776">
        <v>775</v>
      </c>
      <c r="B776">
        <v>61</v>
      </c>
      <c r="C776" t="s">
        <v>11</v>
      </c>
      <c r="D776" t="s">
        <v>17</v>
      </c>
      <c r="E776" t="s">
        <v>13</v>
      </c>
      <c r="F776" s="38">
        <v>6763</v>
      </c>
      <c r="G776" t="s">
        <v>20</v>
      </c>
      <c r="H776" t="s">
        <v>19</v>
      </c>
      <c r="I776" s="38">
        <v>1281.6</v>
      </c>
      <c r="J776">
        <v>12</v>
      </c>
      <c r="K776">
        <v>0</v>
      </c>
    </row>
    <row r="777" hidden="1" spans="1:11">
      <c r="A777">
        <v>776</v>
      </c>
      <c r="B777">
        <v>34</v>
      </c>
      <c r="C777" t="s">
        <v>16</v>
      </c>
      <c r="D777" t="s">
        <v>17</v>
      </c>
      <c r="E777" t="s">
        <v>13</v>
      </c>
      <c r="F777" s="38">
        <v>4904</v>
      </c>
      <c r="G777" t="s">
        <v>20</v>
      </c>
      <c r="H777" t="s">
        <v>21</v>
      </c>
      <c r="I777" s="38">
        <v>8052.3</v>
      </c>
      <c r="J777">
        <v>36</v>
      </c>
      <c r="K777">
        <v>0</v>
      </c>
    </row>
    <row r="778" hidden="1" spans="1:11">
      <c r="A778">
        <v>777</v>
      </c>
      <c r="B778">
        <v>33</v>
      </c>
      <c r="C778" t="s">
        <v>16</v>
      </c>
      <c r="D778" t="s">
        <v>12</v>
      </c>
      <c r="E778" t="s">
        <v>13</v>
      </c>
      <c r="F778" s="38">
        <v>3142</v>
      </c>
      <c r="G778" t="s">
        <v>18</v>
      </c>
      <c r="H778" t="s">
        <v>25</v>
      </c>
      <c r="I778" s="38">
        <v>3209.4</v>
      </c>
      <c r="J778">
        <v>48</v>
      </c>
      <c r="K778">
        <v>0</v>
      </c>
    </row>
    <row r="779" hidden="1" spans="1:11">
      <c r="A779">
        <v>778</v>
      </c>
      <c r="B779">
        <v>31</v>
      </c>
      <c r="C779" t="s">
        <v>16</v>
      </c>
      <c r="D779" t="s">
        <v>12</v>
      </c>
      <c r="E779" t="s">
        <v>13</v>
      </c>
      <c r="F779" s="38">
        <v>5522</v>
      </c>
      <c r="G779" t="s">
        <v>26</v>
      </c>
      <c r="H779" t="s">
        <v>15</v>
      </c>
      <c r="I779" s="38">
        <v>2393.1</v>
      </c>
      <c r="J779">
        <v>18</v>
      </c>
      <c r="K779">
        <v>0</v>
      </c>
    </row>
    <row r="780" hidden="1" spans="1:11">
      <c r="A780">
        <v>779</v>
      </c>
      <c r="B780">
        <v>41</v>
      </c>
      <c r="C780" t="s">
        <v>11</v>
      </c>
      <c r="D780" t="s">
        <v>12</v>
      </c>
      <c r="E780" t="s">
        <v>13</v>
      </c>
      <c r="F780" s="38">
        <v>3602</v>
      </c>
      <c r="G780" t="s">
        <v>14</v>
      </c>
      <c r="H780" t="s">
        <v>21</v>
      </c>
      <c r="I780" s="38">
        <v>3042</v>
      </c>
      <c r="J780">
        <v>4</v>
      </c>
      <c r="K780">
        <v>0</v>
      </c>
    </row>
    <row r="781" hidden="1" spans="1:11">
      <c r="A781">
        <v>780</v>
      </c>
      <c r="B781">
        <v>54</v>
      </c>
      <c r="C781" t="s">
        <v>16</v>
      </c>
      <c r="D781" t="s">
        <v>24</v>
      </c>
      <c r="E781" t="s">
        <v>13</v>
      </c>
      <c r="F781" s="38">
        <v>2133</v>
      </c>
      <c r="G781" t="s">
        <v>20</v>
      </c>
      <c r="H781" t="s">
        <v>15</v>
      </c>
      <c r="I781" s="38">
        <v>1135.8</v>
      </c>
      <c r="J781">
        <v>12</v>
      </c>
      <c r="K781">
        <v>0</v>
      </c>
    </row>
    <row r="782" hidden="1" spans="1:11">
      <c r="A782">
        <v>781</v>
      </c>
      <c r="B782">
        <v>57</v>
      </c>
      <c r="C782" t="s">
        <v>16</v>
      </c>
      <c r="D782" t="s">
        <v>12</v>
      </c>
      <c r="E782" t="s">
        <v>13</v>
      </c>
      <c r="F782" s="38">
        <v>2657</v>
      </c>
      <c r="G782" t="s">
        <v>14</v>
      </c>
      <c r="H782" t="s">
        <v>21</v>
      </c>
      <c r="I782" s="38">
        <v>645.3</v>
      </c>
      <c r="J782">
        <v>12</v>
      </c>
      <c r="K782">
        <v>0</v>
      </c>
    </row>
    <row r="783" hidden="1" spans="1:11">
      <c r="A783">
        <v>782</v>
      </c>
      <c r="B783">
        <v>25</v>
      </c>
      <c r="C783" t="s">
        <v>11</v>
      </c>
      <c r="D783" t="s">
        <v>12</v>
      </c>
      <c r="E783" t="s">
        <v>13</v>
      </c>
      <c r="F783" s="38">
        <v>5868</v>
      </c>
      <c r="G783" t="s">
        <v>18</v>
      </c>
      <c r="H783" t="s">
        <v>21</v>
      </c>
      <c r="I783" s="38">
        <v>3139.2</v>
      </c>
      <c r="J783">
        <v>24</v>
      </c>
      <c r="K783">
        <v>0</v>
      </c>
    </row>
    <row r="784" hidden="1" spans="1:11">
      <c r="A784">
        <v>783</v>
      </c>
      <c r="B784">
        <v>34</v>
      </c>
      <c r="C784" t="s">
        <v>16</v>
      </c>
      <c r="D784" t="s">
        <v>12</v>
      </c>
      <c r="E784" t="s">
        <v>13</v>
      </c>
      <c r="F784" s="38">
        <v>4212</v>
      </c>
      <c r="G784" t="s">
        <v>14</v>
      </c>
      <c r="H784" t="s">
        <v>21</v>
      </c>
      <c r="I784" s="38">
        <v>1224</v>
      </c>
      <c r="J784">
        <v>15</v>
      </c>
      <c r="K784">
        <v>0</v>
      </c>
    </row>
    <row r="785" hidden="1" spans="1:11">
      <c r="A785">
        <v>784</v>
      </c>
      <c r="B785">
        <v>57</v>
      </c>
      <c r="C785" t="s">
        <v>16</v>
      </c>
      <c r="D785" t="s">
        <v>12</v>
      </c>
      <c r="E785" t="s">
        <v>13</v>
      </c>
      <c r="F785" s="38">
        <v>5244</v>
      </c>
      <c r="G785" t="s">
        <v>14</v>
      </c>
      <c r="H785" t="s">
        <v>21</v>
      </c>
      <c r="I785" s="38">
        <v>2769.3</v>
      </c>
      <c r="J785">
        <v>12</v>
      </c>
      <c r="K785">
        <v>0</v>
      </c>
    </row>
    <row r="786" hidden="1" spans="1:11">
      <c r="A786">
        <v>785</v>
      </c>
      <c r="B786">
        <v>33</v>
      </c>
      <c r="C786" t="s">
        <v>16</v>
      </c>
      <c r="D786" t="s">
        <v>12</v>
      </c>
      <c r="E786" t="s">
        <v>13</v>
      </c>
      <c r="F786" s="38">
        <v>2293</v>
      </c>
      <c r="G786" t="s">
        <v>14</v>
      </c>
      <c r="H786" t="s">
        <v>21</v>
      </c>
      <c r="I786" s="38">
        <v>1101.6</v>
      </c>
      <c r="J786">
        <v>9</v>
      </c>
      <c r="K786">
        <v>0</v>
      </c>
    </row>
    <row r="787" spans="1:11">
      <c r="A787">
        <v>786</v>
      </c>
      <c r="B787">
        <v>41</v>
      </c>
      <c r="C787" t="s">
        <v>11</v>
      </c>
      <c r="D787" t="s">
        <v>12</v>
      </c>
      <c r="E787" t="s">
        <v>13</v>
      </c>
      <c r="F787" s="38">
        <v>6142</v>
      </c>
      <c r="G787" t="s">
        <v>14</v>
      </c>
      <c r="H787" t="s">
        <v>25</v>
      </c>
      <c r="I787" s="38">
        <v>3250.8</v>
      </c>
      <c r="J787">
        <v>18</v>
      </c>
      <c r="K787">
        <v>0</v>
      </c>
    </row>
    <row r="788" hidden="1" spans="1:11">
      <c r="A788">
        <v>787</v>
      </c>
      <c r="B788">
        <v>40</v>
      </c>
      <c r="C788" t="s">
        <v>11</v>
      </c>
      <c r="D788" t="s">
        <v>12</v>
      </c>
      <c r="E788" t="s">
        <v>13</v>
      </c>
      <c r="F788" s="38">
        <v>1823</v>
      </c>
      <c r="G788" t="s">
        <v>14</v>
      </c>
      <c r="H788" t="s">
        <v>19</v>
      </c>
      <c r="I788" s="38">
        <v>2022.3</v>
      </c>
      <c r="J788">
        <v>12</v>
      </c>
      <c r="K788">
        <v>0</v>
      </c>
    </row>
    <row r="789" hidden="1" spans="1:11">
      <c r="A789">
        <v>788</v>
      </c>
      <c r="B789">
        <v>40</v>
      </c>
      <c r="C789" t="s">
        <v>16</v>
      </c>
      <c r="D789" t="s">
        <v>12</v>
      </c>
      <c r="E789" t="s">
        <v>13</v>
      </c>
      <c r="F789" s="38">
        <v>5930</v>
      </c>
      <c r="G789" t="s">
        <v>18</v>
      </c>
      <c r="H789" t="s">
        <v>21</v>
      </c>
      <c r="I789" s="38">
        <v>2584.8</v>
      </c>
      <c r="J789">
        <v>24</v>
      </c>
      <c r="K789">
        <v>0</v>
      </c>
    </row>
    <row r="790" hidden="1" spans="1:11">
      <c r="A790">
        <v>789</v>
      </c>
      <c r="B790">
        <v>46</v>
      </c>
      <c r="C790" t="s">
        <v>16</v>
      </c>
      <c r="D790" t="s">
        <v>12</v>
      </c>
      <c r="E790" t="s">
        <v>23</v>
      </c>
      <c r="F790" s="38">
        <v>1976</v>
      </c>
      <c r="G790" t="s">
        <v>14</v>
      </c>
      <c r="H790" t="s">
        <v>15</v>
      </c>
      <c r="I790" s="38">
        <v>4943.7</v>
      </c>
      <c r="J790">
        <v>36</v>
      </c>
      <c r="K790">
        <v>0</v>
      </c>
    </row>
    <row r="791" hidden="1" spans="1:11">
      <c r="A791">
        <v>790</v>
      </c>
      <c r="B791">
        <v>48</v>
      </c>
      <c r="C791" t="s">
        <v>16</v>
      </c>
      <c r="D791" t="s">
        <v>12</v>
      </c>
      <c r="E791" t="s">
        <v>13</v>
      </c>
      <c r="F791" s="38">
        <v>5705</v>
      </c>
      <c r="G791" t="s">
        <v>14</v>
      </c>
      <c r="H791" t="s">
        <v>15</v>
      </c>
      <c r="I791" s="38">
        <v>1330.2</v>
      </c>
      <c r="J791">
        <v>15</v>
      </c>
      <c r="K791">
        <v>0</v>
      </c>
    </row>
    <row r="792" spans="1:11">
      <c r="A792">
        <v>791</v>
      </c>
      <c r="B792">
        <v>33</v>
      </c>
      <c r="C792" t="s">
        <v>16</v>
      </c>
      <c r="D792" t="s">
        <v>17</v>
      </c>
      <c r="E792" t="s">
        <v>13</v>
      </c>
      <c r="F792" s="38">
        <v>6736</v>
      </c>
      <c r="G792" t="s">
        <v>14</v>
      </c>
      <c r="H792" t="s">
        <v>21</v>
      </c>
      <c r="I792" s="38">
        <v>1638</v>
      </c>
      <c r="J792">
        <v>18</v>
      </c>
      <c r="K792">
        <v>0</v>
      </c>
    </row>
    <row r="793" hidden="1" spans="1:11">
      <c r="A793">
        <v>792</v>
      </c>
      <c r="B793">
        <v>23</v>
      </c>
      <c r="C793" t="s">
        <v>16</v>
      </c>
      <c r="D793" t="s">
        <v>24</v>
      </c>
      <c r="E793" t="s">
        <v>13</v>
      </c>
      <c r="F793" s="38">
        <v>5778</v>
      </c>
      <c r="G793" t="s">
        <v>14</v>
      </c>
      <c r="H793" t="s">
        <v>15</v>
      </c>
      <c r="I793" s="38">
        <v>5911.2</v>
      </c>
      <c r="J793">
        <v>24</v>
      </c>
      <c r="K793">
        <v>0</v>
      </c>
    </row>
    <row r="794" hidden="1" spans="1:11">
      <c r="A794">
        <v>793</v>
      </c>
      <c r="B794">
        <v>67</v>
      </c>
      <c r="C794" t="s">
        <v>11</v>
      </c>
      <c r="D794" t="s">
        <v>12</v>
      </c>
      <c r="E794" t="s">
        <v>13</v>
      </c>
      <c r="F794" s="38">
        <v>5482</v>
      </c>
      <c r="G794" t="s">
        <v>20</v>
      </c>
      <c r="H794" t="s">
        <v>21</v>
      </c>
      <c r="I794" s="38">
        <v>1810.8</v>
      </c>
      <c r="J794">
        <v>12</v>
      </c>
      <c r="K794">
        <v>0</v>
      </c>
    </row>
    <row r="795" hidden="1" spans="1:11">
      <c r="A795">
        <v>794</v>
      </c>
      <c r="B795">
        <v>37</v>
      </c>
      <c r="C795" t="s">
        <v>16</v>
      </c>
      <c r="D795" t="s">
        <v>24</v>
      </c>
      <c r="E795" t="s">
        <v>13</v>
      </c>
      <c r="F795" s="38">
        <v>3446</v>
      </c>
      <c r="G795" t="s">
        <v>14</v>
      </c>
      <c r="H795" t="s">
        <v>25</v>
      </c>
      <c r="I795" s="38">
        <v>976.8</v>
      </c>
      <c r="J795">
        <v>12</v>
      </c>
      <c r="K795">
        <v>1</v>
      </c>
    </row>
    <row r="796" hidden="1" spans="1:11">
      <c r="A796">
        <v>795</v>
      </c>
      <c r="B796">
        <v>39</v>
      </c>
      <c r="C796" t="s">
        <v>16</v>
      </c>
      <c r="D796" t="s">
        <v>24</v>
      </c>
      <c r="E796" t="s">
        <v>13</v>
      </c>
      <c r="F796" s="38">
        <v>3223</v>
      </c>
      <c r="G796" t="s">
        <v>14</v>
      </c>
      <c r="H796" t="s">
        <v>21</v>
      </c>
      <c r="I796" s="38">
        <v>1686.3</v>
      </c>
      <c r="J796">
        <v>18</v>
      </c>
      <c r="K796">
        <v>1</v>
      </c>
    </row>
    <row r="797" hidden="1" spans="1:11">
      <c r="A797">
        <v>796</v>
      </c>
      <c r="B797">
        <v>29</v>
      </c>
      <c r="C797" t="s">
        <v>11</v>
      </c>
      <c r="D797" t="s">
        <v>24</v>
      </c>
      <c r="E797" t="s">
        <v>22</v>
      </c>
      <c r="F797" s="38">
        <v>5078</v>
      </c>
      <c r="G797" t="s">
        <v>14</v>
      </c>
      <c r="H797" t="s">
        <v>15</v>
      </c>
      <c r="I797" s="38">
        <v>3239.1</v>
      </c>
      <c r="J797">
        <v>21</v>
      </c>
      <c r="K797">
        <v>0</v>
      </c>
    </row>
    <row r="798" hidden="1" spans="1:11">
      <c r="A798">
        <v>797</v>
      </c>
      <c r="B798">
        <v>32</v>
      </c>
      <c r="C798" t="s">
        <v>11</v>
      </c>
      <c r="D798" t="s">
        <v>12</v>
      </c>
      <c r="E798" t="s">
        <v>13</v>
      </c>
      <c r="F798" s="38">
        <v>4873</v>
      </c>
      <c r="G798" t="s">
        <v>14</v>
      </c>
      <c r="H798" t="s">
        <v>21</v>
      </c>
      <c r="I798" s="38">
        <v>466.2</v>
      </c>
      <c r="J798">
        <v>6</v>
      </c>
      <c r="K798">
        <v>0</v>
      </c>
    </row>
    <row r="799" hidden="1" spans="1:11">
      <c r="A799">
        <v>798</v>
      </c>
      <c r="B799">
        <v>22</v>
      </c>
      <c r="C799" t="s">
        <v>11</v>
      </c>
      <c r="D799" t="s">
        <v>17</v>
      </c>
      <c r="E799" t="s">
        <v>13</v>
      </c>
      <c r="F799" s="38">
        <v>4166</v>
      </c>
      <c r="G799" t="s">
        <v>20</v>
      </c>
      <c r="H799" t="s">
        <v>19</v>
      </c>
      <c r="I799" s="38">
        <v>9418.2</v>
      </c>
      <c r="J799">
        <v>33</v>
      </c>
      <c r="K799">
        <v>1</v>
      </c>
    </row>
    <row r="800" hidden="1" spans="1:11">
      <c r="A800">
        <v>799</v>
      </c>
      <c r="B800">
        <v>52</v>
      </c>
      <c r="C800" t="s">
        <v>16</v>
      </c>
      <c r="D800" t="s">
        <v>24</v>
      </c>
      <c r="E800" t="s">
        <v>13</v>
      </c>
      <c r="F800" s="38">
        <v>5841</v>
      </c>
      <c r="G800" t="s">
        <v>14</v>
      </c>
      <c r="H800" t="s">
        <v>25</v>
      </c>
      <c r="I800" s="38">
        <v>862.2</v>
      </c>
      <c r="J800">
        <v>12</v>
      </c>
      <c r="K800">
        <v>0</v>
      </c>
    </row>
    <row r="801" hidden="1" spans="1:11">
      <c r="A801">
        <v>800</v>
      </c>
      <c r="B801">
        <v>53</v>
      </c>
      <c r="C801" t="s">
        <v>16</v>
      </c>
      <c r="D801" t="s">
        <v>17</v>
      </c>
      <c r="E801" t="s">
        <v>13</v>
      </c>
      <c r="F801" s="38">
        <v>2493</v>
      </c>
      <c r="G801" t="s">
        <v>20</v>
      </c>
      <c r="H801" t="s">
        <v>19</v>
      </c>
      <c r="I801" s="38">
        <v>10983.6</v>
      </c>
      <c r="J801">
        <v>48</v>
      </c>
      <c r="K801">
        <v>0</v>
      </c>
    </row>
    <row r="802" hidden="1" spans="1:11">
      <c r="A802">
        <v>801</v>
      </c>
      <c r="B802">
        <v>37</v>
      </c>
      <c r="C802" t="s">
        <v>11</v>
      </c>
      <c r="D802" t="s">
        <v>17</v>
      </c>
      <c r="E802" t="s">
        <v>13</v>
      </c>
      <c r="F802" s="38">
        <v>2085</v>
      </c>
      <c r="G802" t="s">
        <v>20</v>
      </c>
      <c r="H802" t="s">
        <v>15</v>
      </c>
      <c r="I802" s="38">
        <v>9453.4</v>
      </c>
      <c r="J802">
        <v>18</v>
      </c>
      <c r="K802">
        <v>1</v>
      </c>
    </row>
    <row r="803" hidden="1" spans="1:11">
      <c r="A803">
        <v>802</v>
      </c>
      <c r="B803">
        <v>42</v>
      </c>
      <c r="C803" t="s">
        <v>16</v>
      </c>
      <c r="D803" t="s">
        <v>24</v>
      </c>
      <c r="E803" t="s">
        <v>13</v>
      </c>
      <c r="F803" s="38">
        <v>5384</v>
      </c>
      <c r="G803" t="s">
        <v>14</v>
      </c>
      <c r="H803" t="s">
        <v>25</v>
      </c>
      <c r="I803" s="38">
        <v>1177.2</v>
      </c>
      <c r="J803">
        <v>15</v>
      </c>
      <c r="K803">
        <v>0</v>
      </c>
    </row>
    <row r="804" hidden="1" spans="1:11">
      <c r="A804">
        <v>803</v>
      </c>
      <c r="B804">
        <v>57</v>
      </c>
      <c r="C804" t="s">
        <v>11</v>
      </c>
      <c r="D804" t="s">
        <v>24</v>
      </c>
      <c r="E804" t="s">
        <v>13</v>
      </c>
      <c r="F804" s="38">
        <v>3382</v>
      </c>
      <c r="G804" t="s">
        <v>18</v>
      </c>
      <c r="H804" t="s">
        <v>21</v>
      </c>
      <c r="I804" s="38">
        <v>325.8</v>
      </c>
      <c r="J804">
        <v>6</v>
      </c>
      <c r="K804">
        <v>0</v>
      </c>
    </row>
    <row r="805" hidden="1" spans="1:11">
      <c r="A805">
        <v>804</v>
      </c>
      <c r="B805">
        <v>25</v>
      </c>
      <c r="C805" t="s">
        <v>11</v>
      </c>
      <c r="D805" t="s">
        <v>17</v>
      </c>
      <c r="E805" t="s">
        <v>13</v>
      </c>
      <c r="F805" s="38">
        <v>4610</v>
      </c>
      <c r="G805" t="s">
        <v>14</v>
      </c>
      <c r="H805" t="s">
        <v>19</v>
      </c>
      <c r="I805" s="38">
        <v>1764.9</v>
      </c>
      <c r="J805">
        <v>18</v>
      </c>
      <c r="K805">
        <v>0</v>
      </c>
    </row>
    <row r="806" hidden="1" spans="1:11">
      <c r="A806">
        <v>805</v>
      </c>
      <c r="B806">
        <v>55</v>
      </c>
      <c r="C806" t="s">
        <v>16</v>
      </c>
      <c r="D806" t="s">
        <v>12</v>
      </c>
      <c r="E806" t="s">
        <v>13</v>
      </c>
      <c r="F806" s="38">
        <v>3831</v>
      </c>
      <c r="G806" t="s">
        <v>26</v>
      </c>
      <c r="H806" t="s">
        <v>21</v>
      </c>
      <c r="I806" s="38">
        <v>3399.3</v>
      </c>
      <c r="J806">
        <v>24</v>
      </c>
      <c r="K806">
        <v>0</v>
      </c>
    </row>
    <row r="807" hidden="1" spans="1:11">
      <c r="A807">
        <v>806</v>
      </c>
      <c r="B807">
        <v>70</v>
      </c>
      <c r="C807" t="s">
        <v>16</v>
      </c>
      <c r="D807" t="s">
        <v>24</v>
      </c>
      <c r="E807" t="s">
        <v>22</v>
      </c>
      <c r="F807" s="38">
        <v>5464</v>
      </c>
      <c r="G807" t="s">
        <v>14</v>
      </c>
      <c r="H807" t="s">
        <v>15</v>
      </c>
      <c r="I807" s="38">
        <v>2145.6</v>
      </c>
      <c r="J807">
        <v>24</v>
      </c>
      <c r="K807">
        <v>0</v>
      </c>
    </row>
    <row r="808" hidden="1" spans="1:11">
      <c r="A808">
        <v>807</v>
      </c>
      <c r="B808">
        <v>22</v>
      </c>
      <c r="C808" t="s">
        <v>16</v>
      </c>
      <c r="D808" t="s">
        <v>17</v>
      </c>
      <c r="E808" t="s">
        <v>13</v>
      </c>
      <c r="F808" s="38">
        <v>4360</v>
      </c>
      <c r="G808" t="s">
        <v>20</v>
      </c>
      <c r="H808" t="s">
        <v>19</v>
      </c>
      <c r="I808" s="38">
        <v>32021</v>
      </c>
      <c r="J808">
        <v>6</v>
      </c>
      <c r="K808">
        <v>1</v>
      </c>
    </row>
    <row r="809" spans="1:11">
      <c r="A809">
        <v>808</v>
      </c>
      <c r="B809">
        <v>47</v>
      </c>
      <c r="C809" t="s">
        <v>16</v>
      </c>
      <c r="D809" t="s">
        <v>12</v>
      </c>
      <c r="E809" t="s">
        <v>13</v>
      </c>
      <c r="F809" s="38">
        <v>6070</v>
      </c>
      <c r="G809" t="s">
        <v>20</v>
      </c>
      <c r="H809" t="s">
        <v>19</v>
      </c>
      <c r="I809" s="38">
        <v>2609.1</v>
      </c>
      <c r="J809">
        <v>18</v>
      </c>
      <c r="K809">
        <v>0</v>
      </c>
    </row>
    <row r="810" spans="1:11">
      <c r="A810">
        <v>809</v>
      </c>
      <c r="B810">
        <v>37</v>
      </c>
      <c r="C810" t="s">
        <v>16</v>
      </c>
      <c r="D810" t="s">
        <v>17</v>
      </c>
      <c r="E810" t="s">
        <v>13</v>
      </c>
      <c r="F810" s="38">
        <v>6571</v>
      </c>
      <c r="G810" t="s">
        <v>14</v>
      </c>
      <c r="H810" t="s">
        <v>25</v>
      </c>
      <c r="I810" s="38">
        <v>1674</v>
      </c>
      <c r="J810">
        <v>12</v>
      </c>
      <c r="K810">
        <v>0</v>
      </c>
    </row>
    <row r="811" hidden="1" spans="1:11">
      <c r="A811">
        <v>810</v>
      </c>
      <c r="B811">
        <v>26</v>
      </c>
      <c r="C811" t="s">
        <v>16</v>
      </c>
      <c r="D811" t="s">
        <v>17</v>
      </c>
      <c r="E811" t="s">
        <v>22</v>
      </c>
      <c r="F811" s="38">
        <v>3242</v>
      </c>
      <c r="G811" t="s">
        <v>20</v>
      </c>
      <c r="H811" t="s">
        <v>25</v>
      </c>
      <c r="I811" s="38">
        <v>9937.4</v>
      </c>
      <c r="J811">
        <v>36</v>
      </c>
      <c r="K811">
        <v>1</v>
      </c>
    </row>
    <row r="812" hidden="1" spans="1:11">
      <c r="A812">
        <v>811</v>
      </c>
      <c r="B812">
        <v>24</v>
      </c>
      <c r="C812" t="s">
        <v>16</v>
      </c>
      <c r="D812" t="s">
        <v>12</v>
      </c>
      <c r="E812" t="s">
        <v>22</v>
      </c>
      <c r="F812" s="38">
        <v>3911</v>
      </c>
      <c r="G812" t="s">
        <v>20</v>
      </c>
      <c r="H812" t="s">
        <v>21</v>
      </c>
      <c r="I812" s="38">
        <v>8778</v>
      </c>
      <c r="J812">
        <v>36</v>
      </c>
      <c r="K812">
        <v>1</v>
      </c>
    </row>
    <row r="813" hidden="1" spans="1:11">
      <c r="A813">
        <v>812</v>
      </c>
      <c r="B813">
        <v>45</v>
      </c>
      <c r="C813" t="s">
        <v>16</v>
      </c>
      <c r="D813" t="s">
        <v>12</v>
      </c>
      <c r="E813" t="s">
        <v>13</v>
      </c>
      <c r="F813" s="38">
        <v>2447</v>
      </c>
      <c r="G813" t="s">
        <v>18</v>
      </c>
      <c r="H813" t="s">
        <v>25</v>
      </c>
      <c r="I813" s="38">
        <v>2252.7</v>
      </c>
      <c r="J813">
        <v>30</v>
      </c>
      <c r="K813">
        <v>0</v>
      </c>
    </row>
    <row r="814" spans="1:11">
      <c r="A814">
        <v>813</v>
      </c>
      <c r="B814">
        <v>50</v>
      </c>
      <c r="C814" t="s">
        <v>11</v>
      </c>
      <c r="D814" t="s">
        <v>24</v>
      </c>
      <c r="E814" t="s">
        <v>13</v>
      </c>
      <c r="F814" s="38">
        <v>6601</v>
      </c>
      <c r="G814" t="s">
        <v>20</v>
      </c>
      <c r="H814" t="s">
        <v>21</v>
      </c>
      <c r="I814" s="38">
        <v>3451.5</v>
      </c>
      <c r="J814">
        <v>36</v>
      </c>
      <c r="K814">
        <v>0</v>
      </c>
    </row>
    <row r="815" hidden="1" spans="1:11">
      <c r="A815">
        <v>814</v>
      </c>
      <c r="B815">
        <v>23</v>
      </c>
      <c r="C815" t="s">
        <v>16</v>
      </c>
      <c r="D815" t="s">
        <v>12</v>
      </c>
      <c r="E815" t="s">
        <v>13</v>
      </c>
      <c r="F815" s="38">
        <v>4361</v>
      </c>
      <c r="G815" t="s">
        <v>14</v>
      </c>
      <c r="H815" t="s">
        <v>15</v>
      </c>
      <c r="I815" s="38">
        <v>1479.5</v>
      </c>
      <c r="J815">
        <v>18</v>
      </c>
      <c r="K815">
        <v>1</v>
      </c>
    </row>
    <row r="816" hidden="1" spans="1:11">
      <c r="A816">
        <v>815</v>
      </c>
      <c r="B816">
        <v>34</v>
      </c>
      <c r="C816" t="s">
        <v>16</v>
      </c>
      <c r="D816" t="s">
        <v>12</v>
      </c>
      <c r="E816" t="s">
        <v>13</v>
      </c>
      <c r="F816" s="38">
        <v>3358</v>
      </c>
      <c r="G816" t="s">
        <v>18</v>
      </c>
      <c r="H816" t="s">
        <v>25</v>
      </c>
      <c r="I816" s="38">
        <v>5533.2</v>
      </c>
      <c r="J816">
        <v>20</v>
      </c>
      <c r="K816">
        <v>0</v>
      </c>
    </row>
    <row r="817" hidden="1" spans="1:11">
      <c r="A817">
        <v>816</v>
      </c>
      <c r="B817">
        <v>34</v>
      </c>
      <c r="C817" t="s">
        <v>16</v>
      </c>
      <c r="D817" t="s">
        <v>17</v>
      </c>
      <c r="E817" t="s">
        <v>22</v>
      </c>
      <c r="F817" s="38">
        <v>3864</v>
      </c>
      <c r="G817" t="s">
        <v>14</v>
      </c>
      <c r="H817" t="s">
        <v>21</v>
      </c>
      <c r="I817" s="38">
        <v>1766.7</v>
      </c>
      <c r="J817">
        <v>12</v>
      </c>
      <c r="K817">
        <v>0</v>
      </c>
    </row>
    <row r="818" hidden="1" spans="1:11">
      <c r="A818">
        <v>817</v>
      </c>
      <c r="B818">
        <v>56</v>
      </c>
      <c r="C818" t="s">
        <v>16</v>
      </c>
      <c r="D818" t="s">
        <v>12</v>
      </c>
      <c r="E818" t="s">
        <v>13</v>
      </c>
      <c r="F818" s="38">
        <v>5902</v>
      </c>
      <c r="G818" t="s">
        <v>14</v>
      </c>
      <c r="H818" t="s">
        <v>21</v>
      </c>
      <c r="I818" s="38">
        <v>1435.5</v>
      </c>
      <c r="J818">
        <v>6</v>
      </c>
      <c r="K818">
        <v>0</v>
      </c>
    </row>
    <row r="819" hidden="1" spans="1:11">
      <c r="A819">
        <v>818</v>
      </c>
      <c r="B819">
        <v>34</v>
      </c>
      <c r="C819" t="s">
        <v>16</v>
      </c>
      <c r="D819" t="s">
        <v>24</v>
      </c>
      <c r="E819" t="s">
        <v>13</v>
      </c>
      <c r="F819" s="38">
        <v>5497</v>
      </c>
      <c r="G819" t="s">
        <v>14</v>
      </c>
      <c r="H819" t="s">
        <v>25</v>
      </c>
      <c r="I819" s="38">
        <v>1269</v>
      </c>
      <c r="J819">
        <v>12</v>
      </c>
      <c r="K819">
        <v>0</v>
      </c>
    </row>
    <row r="820" hidden="1" spans="1:11">
      <c r="A820">
        <v>819</v>
      </c>
      <c r="B820">
        <v>36</v>
      </c>
      <c r="C820" t="s">
        <v>16</v>
      </c>
      <c r="D820" t="s">
        <v>12</v>
      </c>
      <c r="E820" t="s">
        <v>13</v>
      </c>
      <c r="F820" s="38">
        <v>5468</v>
      </c>
      <c r="G820" t="s">
        <v>14</v>
      </c>
      <c r="H820" t="s">
        <v>19</v>
      </c>
      <c r="I820" s="38">
        <v>5660.1</v>
      </c>
      <c r="J820">
        <v>42</v>
      </c>
      <c r="K820">
        <v>0</v>
      </c>
    </row>
    <row r="821" spans="1:11">
      <c r="A821">
        <v>820</v>
      </c>
      <c r="B821">
        <v>34</v>
      </c>
      <c r="C821" t="s">
        <v>16</v>
      </c>
      <c r="D821" t="s">
        <v>12</v>
      </c>
      <c r="E821" t="s">
        <v>23</v>
      </c>
      <c r="F821" s="38">
        <v>6015</v>
      </c>
      <c r="G821" t="s">
        <v>14</v>
      </c>
      <c r="H821" t="s">
        <v>21</v>
      </c>
      <c r="I821" s="38">
        <v>5499</v>
      </c>
      <c r="J821">
        <v>48</v>
      </c>
      <c r="K821">
        <v>0</v>
      </c>
    </row>
    <row r="822" hidden="1" spans="1:11">
      <c r="A822">
        <v>821</v>
      </c>
      <c r="B822">
        <v>22</v>
      </c>
      <c r="C822" t="s">
        <v>11</v>
      </c>
      <c r="D822" t="s">
        <v>12</v>
      </c>
      <c r="E822" t="s">
        <v>22</v>
      </c>
      <c r="F822" s="38">
        <v>2015</v>
      </c>
      <c r="G822" t="s">
        <v>26</v>
      </c>
      <c r="H822" t="s">
        <v>21</v>
      </c>
      <c r="I822" s="38">
        <v>1998.9</v>
      </c>
      <c r="J822">
        <v>15</v>
      </c>
      <c r="K822">
        <v>0</v>
      </c>
    </row>
    <row r="823" hidden="1" spans="1:11">
      <c r="A823">
        <v>822</v>
      </c>
      <c r="B823">
        <v>41</v>
      </c>
      <c r="C823" t="s">
        <v>16</v>
      </c>
      <c r="D823" t="s">
        <v>24</v>
      </c>
      <c r="E823" t="s">
        <v>13</v>
      </c>
      <c r="F823" s="38">
        <v>1851</v>
      </c>
      <c r="G823" t="s">
        <v>14</v>
      </c>
      <c r="H823" t="s">
        <v>25</v>
      </c>
      <c r="I823" s="38">
        <v>1038.6</v>
      </c>
      <c r="J823">
        <v>9</v>
      </c>
      <c r="K823">
        <v>0</v>
      </c>
    </row>
    <row r="824" hidden="1" spans="1:11">
      <c r="A824">
        <v>823</v>
      </c>
      <c r="B824">
        <v>29</v>
      </c>
      <c r="C824" t="s">
        <v>11</v>
      </c>
      <c r="D824" t="s">
        <v>12</v>
      </c>
      <c r="E824" t="s">
        <v>13</v>
      </c>
      <c r="F824" s="38">
        <v>3954</v>
      </c>
      <c r="G824" t="s">
        <v>20</v>
      </c>
      <c r="H824" t="s">
        <v>15</v>
      </c>
      <c r="I824" s="38">
        <v>2013</v>
      </c>
      <c r="J824">
        <v>24</v>
      </c>
      <c r="K824">
        <v>1</v>
      </c>
    </row>
    <row r="825" hidden="1" spans="1:11">
      <c r="A825">
        <v>824</v>
      </c>
      <c r="B825">
        <v>59</v>
      </c>
      <c r="C825" t="s">
        <v>16</v>
      </c>
      <c r="D825" t="s">
        <v>12</v>
      </c>
      <c r="E825" t="s">
        <v>13</v>
      </c>
      <c r="F825" s="38">
        <v>4327</v>
      </c>
      <c r="G825" t="s">
        <v>20</v>
      </c>
      <c r="H825" t="s">
        <v>21</v>
      </c>
      <c r="I825" s="38">
        <v>2029.5</v>
      </c>
      <c r="J825">
        <v>24</v>
      </c>
      <c r="K825">
        <v>0</v>
      </c>
    </row>
    <row r="826" hidden="1" spans="1:11">
      <c r="A826">
        <v>825</v>
      </c>
      <c r="B826">
        <v>51</v>
      </c>
      <c r="C826" t="s">
        <v>16</v>
      </c>
      <c r="D826" t="s">
        <v>12</v>
      </c>
      <c r="E826" t="s">
        <v>23</v>
      </c>
      <c r="F826" s="38">
        <v>4301</v>
      </c>
      <c r="G826" t="s">
        <v>14</v>
      </c>
      <c r="H826" t="s">
        <v>15</v>
      </c>
      <c r="I826" s="38">
        <v>2447.5</v>
      </c>
      <c r="J826">
        <v>36</v>
      </c>
      <c r="K826">
        <v>1</v>
      </c>
    </row>
    <row r="827" hidden="1" spans="1:11">
      <c r="A827">
        <v>826</v>
      </c>
      <c r="B827">
        <v>29</v>
      </c>
      <c r="C827" t="s">
        <v>16</v>
      </c>
      <c r="D827" t="s">
        <v>12</v>
      </c>
      <c r="E827" t="s">
        <v>13</v>
      </c>
      <c r="F827" s="38">
        <v>2312</v>
      </c>
      <c r="G827" t="s">
        <v>26</v>
      </c>
      <c r="H827" t="s">
        <v>25</v>
      </c>
      <c r="I827" s="38">
        <v>1042.2</v>
      </c>
      <c r="J827">
        <v>12</v>
      </c>
      <c r="K827">
        <v>0</v>
      </c>
    </row>
    <row r="828" hidden="1" spans="1:11">
      <c r="A828">
        <v>827</v>
      </c>
      <c r="B828">
        <v>24</v>
      </c>
      <c r="C828" t="s">
        <v>16</v>
      </c>
      <c r="D828" t="s">
        <v>12</v>
      </c>
      <c r="E828" t="s">
        <v>13</v>
      </c>
      <c r="F828" s="38">
        <v>4133</v>
      </c>
      <c r="G828" t="s">
        <v>14</v>
      </c>
      <c r="H828" t="s">
        <v>15</v>
      </c>
      <c r="I828" s="38">
        <v>3907.2</v>
      </c>
      <c r="J828">
        <v>24</v>
      </c>
      <c r="K828">
        <v>1</v>
      </c>
    </row>
    <row r="829" hidden="1" spans="1:11">
      <c r="A829">
        <v>828</v>
      </c>
      <c r="B829">
        <v>26</v>
      </c>
      <c r="C829" t="s">
        <v>11</v>
      </c>
      <c r="D829" t="s">
        <v>17</v>
      </c>
      <c r="E829" t="s">
        <v>22</v>
      </c>
      <c r="F829" s="38">
        <v>4038</v>
      </c>
      <c r="G829" t="s">
        <v>14</v>
      </c>
      <c r="H829" t="s">
        <v>15</v>
      </c>
      <c r="I829" s="38">
        <v>1312.3</v>
      </c>
      <c r="J829">
        <v>24</v>
      </c>
      <c r="K829">
        <v>1</v>
      </c>
    </row>
    <row r="830" hidden="1" spans="1:11">
      <c r="A830">
        <v>829</v>
      </c>
      <c r="B830">
        <v>32</v>
      </c>
      <c r="C830" t="s">
        <v>11</v>
      </c>
      <c r="D830" t="s">
        <v>12</v>
      </c>
      <c r="E830" t="s">
        <v>13</v>
      </c>
      <c r="F830" s="38">
        <v>2534</v>
      </c>
      <c r="G830" t="s">
        <v>26</v>
      </c>
      <c r="H830" t="s">
        <v>15</v>
      </c>
      <c r="I830" s="38">
        <v>3021.3</v>
      </c>
      <c r="J830">
        <v>21</v>
      </c>
      <c r="K830">
        <v>0</v>
      </c>
    </row>
    <row r="831" hidden="1" spans="1:11">
      <c r="A831">
        <v>830</v>
      </c>
      <c r="B831">
        <v>37</v>
      </c>
      <c r="C831" t="s">
        <v>16</v>
      </c>
      <c r="D831" t="s">
        <v>24</v>
      </c>
      <c r="E831" t="s">
        <v>13</v>
      </c>
      <c r="F831" s="38">
        <v>2531</v>
      </c>
      <c r="G831" t="s">
        <v>20</v>
      </c>
      <c r="H831" t="s">
        <v>21</v>
      </c>
      <c r="I831" s="38">
        <v>2838</v>
      </c>
      <c r="J831">
        <v>21</v>
      </c>
      <c r="K831">
        <v>1</v>
      </c>
    </row>
    <row r="832" spans="1:11">
      <c r="A832">
        <v>831</v>
      </c>
      <c r="B832">
        <v>28</v>
      </c>
      <c r="C832" t="s">
        <v>16</v>
      </c>
      <c r="D832" t="s">
        <v>24</v>
      </c>
      <c r="E832" t="s">
        <v>13</v>
      </c>
      <c r="F832" s="38">
        <v>6544</v>
      </c>
      <c r="G832" t="s">
        <v>14</v>
      </c>
      <c r="H832" t="s">
        <v>25</v>
      </c>
      <c r="I832" s="38">
        <v>779.4</v>
      </c>
      <c r="J832">
        <v>18</v>
      </c>
      <c r="K832">
        <v>0</v>
      </c>
    </row>
    <row r="833" spans="1:11">
      <c r="A833">
        <v>832</v>
      </c>
      <c r="B833">
        <v>30</v>
      </c>
      <c r="C833" t="s">
        <v>16</v>
      </c>
      <c r="D833" t="s">
        <v>17</v>
      </c>
      <c r="E833" t="s">
        <v>23</v>
      </c>
      <c r="F833" s="38">
        <v>6093</v>
      </c>
      <c r="G833" t="s">
        <v>20</v>
      </c>
      <c r="H833" t="s">
        <v>19</v>
      </c>
      <c r="I833" s="38">
        <v>8241.3</v>
      </c>
      <c r="J833">
        <v>60</v>
      </c>
      <c r="K833">
        <v>0</v>
      </c>
    </row>
    <row r="834" hidden="1" spans="1:11">
      <c r="A834">
        <v>833</v>
      </c>
      <c r="B834">
        <v>51</v>
      </c>
      <c r="C834" t="s">
        <v>16</v>
      </c>
      <c r="D834" t="s">
        <v>12</v>
      </c>
      <c r="E834" t="s">
        <v>13</v>
      </c>
      <c r="F834" s="38">
        <v>5974</v>
      </c>
      <c r="G834" t="s">
        <v>14</v>
      </c>
      <c r="H834" t="s">
        <v>19</v>
      </c>
      <c r="I834" s="38">
        <v>1208.7</v>
      </c>
      <c r="J834">
        <v>6</v>
      </c>
      <c r="K834">
        <v>0</v>
      </c>
    </row>
    <row r="835" hidden="1" spans="1:11">
      <c r="A835">
        <v>834</v>
      </c>
      <c r="B835">
        <v>29</v>
      </c>
      <c r="C835" t="s">
        <v>16</v>
      </c>
      <c r="D835" t="s">
        <v>12</v>
      </c>
      <c r="E835" t="s">
        <v>13</v>
      </c>
      <c r="F835" s="38">
        <v>2823</v>
      </c>
      <c r="G835" t="s">
        <v>18</v>
      </c>
      <c r="H835" t="s">
        <v>15</v>
      </c>
      <c r="I835" s="38">
        <v>1243.8</v>
      </c>
      <c r="J835">
        <v>24</v>
      </c>
      <c r="K835">
        <v>0</v>
      </c>
    </row>
    <row r="836" hidden="1" spans="1:11">
      <c r="A836">
        <v>835</v>
      </c>
      <c r="B836">
        <v>39</v>
      </c>
      <c r="C836" t="s">
        <v>16</v>
      </c>
      <c r="D836" t="s">
        <v>24</v>
      </c>
      <c r="E836" t="s">
        <v>13</v>
      </c>
      <c r="F836" s="38">
        <v>2129</v>
      </c>
      <c r="G836" t="s">
        <v>18</v>
      </c>
      <c r="H836" t="s">
        <v>15</v>
      </c>
      <c r="I836" s="38">
        <v>3942</v>
      </c>
      <c r="J836">
        <v>18</v>
      </c>
      <c r="K836">
        <v>0</v>
      </c>
    </row>
    <row r="837" spans="1:11">
      <c r="A837">
        <v>836</v>
      </c>
      <c r="B837">
        <v>61</v>
      </c>
      <c r="C837" t="s">
        <v>16</v>
      </c>
      <c r="D837" t="s">
        <v>12</v>
      </c>
      <c r="E837" t="s">
        <v>13</v>
      </c>
      <c r="F837" s="38">
        <v>6304</v>
      </c>
      <c r="G837" t="s">
        <v>26</v>
      </c>
      <c r="H837" t="s">
        <v>21</v>
      </c>
      <c r="I837" s="38">
        <v>1271.7</v>
      </c>
      <c r="J837">
        <v>12</v>
      </c>
      <c r="K837">
        <v>0</v>
      </c>
    </row>
    <row r="838" spans="1:11">
      <c r="A838">
        <v>837</v>
      </c>
      <c r="B838">
        <v>30</v>
      </c>
      <c r="C838" t="s">
        <v>16</v>
      </c>
      <c r="D838" t="s">
        <v>12</v>
      </c>
      <c r="E838" t="s">
        <v>13</v>
      </c>
      <c r="F838" s="38">
        <v>6125</v>
      </c>
      <c r="G838" t="s">
        <v>14</v>
      </c>
      <c r="H838" t="s">
        <v>25</v>
      </c>
      <c r="I838" s="38">
        <v>3286.8</v>
      </c>
      <c r="J838">
        <v>21</v>
      </c>
      <c r="K838">
        <v>0</v>
      </c>
    </row>
    <row r="839" hidden="1" spans="1:11">
      <c r="A839">
        <v>838</v>
      </c>
      <c r="B839">
        <v>28</v>
      </c>
      <c r="C839" t="s">
        <v>11</v>
      </c>
      <c r="D839" t="s">
        <v>12</v>
      </c>
      <c r="E839" t="s">
        <v>13</v>
      </c>
      <c r="F839" s="38">
        <v>3620</v>
      </c>
      <c r="G839" t="s">
        <v>20</v>
      </c>
      <c r="H839" t="s">
        <v>15</v>
      </c>
      <c r="I839" s="38">
        <v>7697.8</v>
      </c>
      <c r="J839">
        <v>12</v>
      </c>
      <c r="K839">
        <v>1</v>
      </c>
    </row>
    <row r="840" hidden="1" spans="1:11">
      <c r="A840">
        <v>839</v>
      </c>
      <c r="B840">
        <v>39</v>
      </c>
      <c r="C840" t="s">
        <v>16</v>
      </c>
      <c r="D840" t="s">
        <v>12</v>
      </c>
      <c r="E840" t="s">
        <v>22</v>
      </c>
      <c r="F840" s="38">
        <v>4541</v>
      </c>
      <c r="G840" t="s">
        <v>14</v>
      </c>
      <c r="H840" t="s">
        <v>25</v>
      </c>
      <c r="I840" s="38">
        <v>1727.1</v>
      </c>
      <c r="J840">
        <v>9</v>
      </c>
      <c r="K840">
        <v>0</v>
      </c>
    </row>
    <row r="841" hidden="1" spans="1:11">
      <c r="A841">
        <v>840</v>
      </c>
      <c r="B841">
        <v>35</v>
      </c>
      <c r="C841" t="s">
        <v>16</v>
      </c>
      <c r="D841" t="s">
        <v>12</v>
      </c>
      <c r="E841" t="s">
        <v>22</v>
      </c>
      <c r="F841" s="38">
        <v>5141</v>
      </c>
      <c r="G841" t="s">
        <v>26</v>
      </c>
      <c r="H841" t="s">
        <v>21</v>
      </c>
      <c r="I841" s="38">
        <v>2755.8</v>
      </c>
      <c r="J841">
        <v>24</v>
      </c>
      <c r="K841">
        <v>0</v>
      </c>
    </row>
    <row r="842" hidden="1" spans="1:11">
      <c r="A842">
        <v>841</v>
      </c>
      <c r="B842">
        <v>72</v>
      </c>
      <c r="C842" t="s">
        <v>11</v>
      </c>
      <c r="D842" t="s">
        <v>17</v>
      </c>
      <c r="E842" t="s">
        <v>13</v>
      </c>
      <c r="F842" s="38">
        <v>2554</v>
      </c>
      <c r="G842" t="s">
        <v>14</v>
      </c>
      <c r="H842" t="s">
        <v>21</v>
      </c>
      <c r="I842" s="38">
        <v>988.2</v>
      </c>
      <c r="J842">
        <v>18</v>
      </c>
      <c r="K842">
        <v>0</v>
      </c>
    </row>
    <row r="843" hidden="1" spans="1:11">
      <c r="A843">
        <v>842</v>
      </c>
      <c r="B843">
        <v>39</v>
      </c>
      <c r="C843" t="s">
        <v>16</v>
      </c>
      <c r="D843" t="s">
        <v>12</v>
      </c>
      <c r="E843" t="s">
        <v>22</v>
      </c>
      <c r="F843" s="38">
        <v>5969</v>
      </c>
      <c r="G843" t="s">
        <v>18</v>
      </c>
      <c r="H843" t="s">
        <v>21</v>
      </c>
      <c r="I843" s="38">
        <v>1083.6</v>
      </c>
      <c r="J843">
        <v>6</v>
      </c>
      <c r="K843">
        <v>0</v>
      </c>
    </row>
    <row r="844" hidden="1" spans="1:11">
      <c r="A844">
        <v>843</v>
      </c>
      <c r="B844">
        <v>25</v>
      </c>
      <c r="C844" t="s">
        <v>11</v>
      </c>
      <c r="D844" t="s">
        <v>17</v>
      </c>
      <c r="E844" t="s">
        <v>13</v>
      </c>
      <c r="F844" s="38">
        <v>3603</v>
      </c>
      <c r="G844" t="s">
        <v>14</v>
      </c>
      <c r="H844" t="s">
        <v>21</v>
      </c>
      <c r="I844" s="38">
        <v>3683.9</v>
      </c>
      <c r="J844">
        <v>36</v>
      </c>
      <c r="K844">
        <v>1</v>
      </c>
    </row>
    <row r="845" spans="1:11">
      <c r="A845">
        <v>844</v>
      </c>
      <c r="B845">
        <v>32</v>
      </c>
      <c r="C845" t="s">
        <v>11</v>
      </c>
      <c r="D845" t="s">
        <v>17</v>
      </c>
      <c r="E845" t="s">
        <v>13</v>
      </c>
      <c r="F845" s="38">
        <v>6187</v>
      </c>
      <c r="G845" t="s">
        <v>14</v>
      </c>
      <c r="H845" t="s">
        <v>21</v>
      </c>
      <c r="I845" s="38">
        <v>1270.8</v>
      </c>
      <c r="J845">
        <v>12</v>
      </c>
      <c r="K845">
        <v>0</v>
      </c>
    </row>
    <row r="846" hidden="1" spans="1:11">
      <c r="A846">
        <v>845</v>
      </c>
      <c r="B846">
        <v>21</v>
      </c>
      <c r="C846" t="s">
        <v>11</v>
      </c>
      <c r="D846" t="s">
        <v>24</v>
      </c>
      <c r="E846" t="s">
        <v>13</v>
      </c>
      <c r="F846" s="38">
        <v>3165</v>
      </c>
      <c r="G846" t="s">
        <v>14</v>
      </c>
      <c r="H846" t="s">
        <v>15</v>
      </c>
      <c r="I846" s="38">
        <v>1073.6</v>
      </c>
      <c r="J846">
        <v>18</v>
      </c>
      <c r="K846">
        <v>1</v>
      </c>
    </row>
    <row r="847" hidden="1" spans="1:11">
      <c r="A847">
        <v>846</v>
      </c>
      <c r="B847">
        <v>40</v>
      </c>
      <c r="C847" t="s">
        <v>16</v>
      </c>
      <c r="D847" t="s">
        <v>17</v>
      </c>
      <c r="E847" t="s">
        <v>22</v>
      </c>
      <c r="F847" s="38">
        <v>4861</v>
      </c>
      <c r="G847" t="s">
        <v>20</v>
      </c>
      <c r="H847" t="s">
        <v>19</v>
      </c>
      <c r="I847" s="38">
        <v>6351.3</v>
      </c>
      <c r="J847">
        <v>20</v>
      </c>
      <c r="K847">
        <v>0</v>
      </c>
    </row>
    <row r="848" hidden="1" spans="1:11">
      <c r="A848">
        <v>847</v>
      </c>
      <c r="B848">
        <v>32</v>
      </c>
      <c r="C848" t="s">
        <v>11</v>
      </c>
      <c r="D848" t="s">
        <v>12</v>
      </c>
      <c r="E848" t="s">
        <v>13</v>
      </c>
      <c r="F848" s="38">
        <v>2836</v>
      </c>
      <c r="G848" t="s">
        <v>20</v>
      </c>
      <c r="H848" t="s">
        <v>15</v>
      </c>
      <c r="I848" s="38">
        <v>1519.1</v>
      </c>
      <c r="J848">
        <v>24</v>
      </c>
      <c r="K848">
        <v>1</v>
      </c>
    </row>
    <row r="849" hidden="1" spans="1:11">
      <c r="A849">
        <v>848</v>
      </c>
      <c r="B849">
        <v>44</v>
      </c>
      <c r="C849" t="s">
        <v>16</v>
      </c>
      <c r="D849" t="s">
        <v>17</v>
      </c>
      <c r="E849" t="s">
        <v>13</v>
      </c>
      <c r="F849" s="38">
        <v>4168</v>
      </c>
      <c r="G849" t="s">
        <v>26</v>
      </c>
      <c r="H849" t="s">
        <v>21</v>
      </c>
      <c r="I849" s="38">
        <v>22948.2</v>
      </c>
      <c r="J849">
        <v>48</v>
      </c>
      <c r="K849">
        <v>0</v>
      </c>
    </row>
    <row r="850" hidden="1" spans="1:11">
      <c r="A850">
        <v>849</v>
      </c>
      <c r="B850">
        <v>24</v>
      </c>
      <c r="C850" t="s">
        <v>11</v>
      </c>
      <c r="D850" t="s">
        <v>17</v>
      </c>
      <c r="E850" t="s">
        <v>22</v>
      </c>
      <c r="F850" s="38">
        <v>2134</v>
      </c>
      <c r="G850" t="s">
        <v>14</v>
      </c>
      <c r="H850" t="s">
        <v>15</v>
      </c>
      <c r="I850" s="38">
        <v>1046.1</v>
      </c>
      <c r="J850">
        <v>12</v>
      </c>
      <c r="K850">
        <v>1</v>
      </c>
    </row>
    <row r="851" spans="1:11">
      <c r="A851">
        <v>850</v>
      </c>
      <c r="B851">
        <v>34</v>
      </c>
      <c r="C851" t="s">
        <v>16</v>
      </c>
      <c r="D851" t="s">
        <v>17</v>
      </c>
      <c r="E851" t="s">
        <v>23</v>
      </c>
      <c r="F851" s="38">
        <v>6682</v>
      </c>
      <c r="G851" t="s">
        <v>14</v>
      </c>
      <c r="H851" t="s">
        <v>15</v>
      </c>
      <c r="I851" s="38">
        <v>11842.2</v>
      </c>
      <c r="J851">
        <v>24</v>
      </c>
      <c r="K851">
        <v>0</v>
      </c>
    </row>
    <row r="852" hidden="1" spans="1:11">
      <c r="A852">
        <v>851</v>
      </c>
      <c r="B852">
        <v>30</v>
      </c>
      <c r="C852" t="s">
        <v>11</v>
      </c>
      <c r="D852" t="s">
        <v>12</v>
      </c>
      <c r="E852" t="s">
        <v>22</v>
      </c>
      <c r="F852" s="38">
        <v>3649</v>
      </c>
      <c r="G852" t="s">
        <v>14</v>
      </c>
      <c r="H852" t="s">
        <v>15</v>
      </c>
      <c r="I852" s="38">
        <v>4362.6</v>
      </c>
      <c r="J852">
        <v>18</v>
      </c>
      <c r="K852">
        <v>1</v>
      </c>
    </row>
    <row r="853" hidden="1" spans="1:11">
      <c r="A853">
        <v>852</v>
      </c>
      <c r="B853">
        <v>28</v>
      </c>
      <c r="C853" t="s">
        <v>16</v>
      </c>
      <c r="D853" t="s">
        <v>24</v>
      </c>
      <c r="E853" t="s">
        <v>13</v>
      </c>
      <c r="F853" s="38">
        <v>2577</v>
      </c>
      <c r="G853" t="s">
        <v>14</v>
      </c>
      <c r="H853" t="s">
        <v>15</v>
      </c>
      <c r="I853" s="38">
        <v>1024.2</v>
      </c>
      <c r="J853">
        <v>9</v>
      </c>
      <c r="K853">
        <v>0</v>
      </c>
    </row>
    <row r="854" hidden="1" spans="1:11">
      <c r="A854">
        <v>853</v>
      </c>
      <c r="B854">
        <v>46</v>
      </c>
      <c r="C854" t="s">
        <v>11</v>
      </c>
      <c r="D854" t="s">
        <v>12</v>
      </c>
      <c r="E854" t="s">
        <v>13</v>
      </c>
      <c r="F854" s="38">
        <v>2594</v>
      </c>
      <c r="G854" t="s">
        <v>20</v>
      </c>
      <c r="H854" t="s">
        <v>19</v>
      </c>
      <c r="I854" s="38">
        <v>4575.6</v>
      </c>
      <c r="J854">
        <v>24</v>
      </c>
      <c r="K854">
        <v>0</v>
      </c>
    </row>
    <row r="855" hidden="1" spans="1:11">
      <c r="A855">
        <v>854</v>
      </c>
      <c r="B855">
        <v>23</v>
      </c>
      <c r="C855" t="s">
        <v>16</v>
      </c>
      <c r="D855" t="s">
        <v>24</v>
      </c>
      <c r="E855" t="s">
        <v>13</v>
      </c>
      <c r="F855" s="38">
        <v>2735</v>
      </c>
      <c r="G855" t="s">
        <v>14</v>
      </c>
      <c r="H855" t="s">
        <v>15</v>
      </c>
      <c r="I855" s="38">
        <v>1160.1</v>
      </c>
      <c r="J855">
        <v>12</v>
      </c>
      <c r="K855">
        <v>0</v>
      </c>
    </row>
    <row r="856" hidden="1" spans="1:11">
      <c r="A856">
        <v>855</v>
      </c>
      <c r="B856">
        <v>21</v>
      </c>
      <c r="C856" t="s">
        <v>11</v>
      </c>
      <c r="D856" t="s">
        <v>24</v>
      </c>
      <c r="E856" t="s">
        <v>13</v>
      </c>
      <c r="F856" s="38">
        <v>2074</v>
      </c>
      <c r="G856" t="s">
        <v>18</v>
      </c>
      <c r="H856" t="s">
        <v>25</v>
      </c>
      <c r="I856" s="38">
        <v>919.6</v>
      </c>
      <c r="J856">
        <v>12</v>
      </c>
      <c r="K856">
        <v>1</v>
      </c>
    </row>
    <row r="857" spans="1:11">
      <c r="A857">
        <v>856</v>
      </c>
      <c r="B857">
        <v>36</v>
      </c>
      <c r="C857" t="s">
        <v>16</v>
      </c>
      <c r="D857" t="s">
        <v>12</v>
      </c>
      <c r="E857" t="s">
        <v>13</v>
      </c>
      <c r="F857" s="38">
        <v>6325</v>
      </c>
      <c r="G857" t="s">
        <v>14</v>
      </c>
      <c r="H857" t="s">
        <v>21</v>
      </c>
      <c r="I857" s="38">
        <v>1665.9</v>
      </c>
      <c r="J857">
        <v>24</v>
      </c>
      <c r="K857">
        <v>0</v>
      </c>
    </row>
    <row r="858" hidden="1" spans="1:11">
      <c r="A858">
        <v>857</v>
      </c>
      <c r="B858">
        <v>31</v>
      </c>
      <c r="C858" t="s">
        <v>11</v>
      </c>
      <c r="D858" t="s">
        <v>12</v>
      </c>
      <c r="E858" t="s">
        <v>13</v>
      </c>
      <c r="F858" s="38">
        <v>1958</v>
      </c>
      <c r="G858" t="s">
        <v>14</v>
      </c>
      <c r="H858" t="s">
        <v>15</v>
      </c>
      <c r="I858" s="38">
        <v>7698.9</v>
      </c>
      <c r="J858">
        <v>48</v>
      </c>
      <c r="K858">
        <v>1</v>
      </c>
    </row>
    <row r="859" hidden="1" spans="1:11">
      <c r="A859">
        <v>858</v>
      </c>
      <c r="B859">
        <v>46</v>
      </c>
      <c r="C859" t="s">
        <v>11</v>
      </c>
      <c r="D859" t="s">
        <v>12</v>
      </c>
      <c r="E859" t="s">
        <v>22</v>
      </c>
      <c r="F859" s="38">
        <v>5835</v>
      </c>
      <c r="G859" t="s">
        <v>20</v>
      </c>
      <c r="H859" t="s">
        <v>19</v>
      </c>
      <c r="I859" s="38">
        <v>1768.5</v>
      </c>
      <c r="J859">
        <v>24</v>
      </c>
      <c r="K859">
        <v>0</v>
      </c>
    </row>
    <row r="860" hidden="1" spans="1:11">
      <c r="A860">
        <v>859</v>
      </c>
      <c r="B860">
        <v>22</v>
      </c>
      <c r="C860" t="s">
        <v>11</v>
      </c>
      <c r="D860" t="s">
        <v>17</v>
      </c>
      <c r="E860" t="s">
        <v>13</v>
      </c>
      <c r="F860" s="38">
        <v>1323</v>
      </c>
      <c r="G860" t="s">
        <v>20</v>
      </c>
      <c r="H860" t="s">
        <v>15</v>
      </c>
      <c r="I860" s="38">
        <v>8148.8</v>
      </c>
      <c r="J860">
        <v>60</v>
      </c>
      <c r="K860">
        <v>1</v>
      </c>
    </row>
    <row r="861" hidden="1" spans="1:11">
      <c r="A861">
        <v>860</v>
      </c>
      <c r="B861">
        <v>40</v>
      </c>
      <c r="C861" t="s">
        <v>16</v>
      </c>
      <c r="D861" t="s">
        <v>12</v>
      </c>
      <c r="E861" t="s">
        <v>13</v>
      </c>
      <c r="F861" s="38">
        <v>2314</v>
      </c>
      <c r="G861" t="s">
        <v>26</v>
      </c>
      <c r="H861" t="s">
        <v>21</v>
      </c>
      <c r="I861" s="38">
        <v>818.1</v>
      </c>
      <c r="J861">
        <v>36</v>
      </c>
      <c r="K861">
        <v>0</v>
      </c>
    </row>
    <row r="862" spans="1:11">
      <c r="A862">
        <v>861</v>
      </c>
      <c r="B862">
        <v>36</v>
      </c>
      <c r="C862" t="s">
        <v>16</v>
      </c>
      <c r="D862" t="s">
        <v>12</v>
      </c>
      <c r="E862" t="s">
        <v>13</v>
      </c>
      <c r="F862" s="38">
        <v>6077</v>
      </c>
      <c r="G862" t="s">
        <v>14</v>
      </c>
      <c r="H862" t="s">
        <v>21</v>
      </c>
      <c r="I862" s="38">
        <v>1330.2</v>
      </c>
      <c r="J862">
        <v>15</v>
      </c>
      <c r="K862">
        <v>0</v>
      </c>
    </row>
    <row r="863" hidden="1" spans="1:11">
      <c r="A863">
        <v>862</v>
      </c>
      <c r="B863">
        <v>39</v>
      </c>
      <c r="C863" t="s">
        <v>16</v>
      </c>
      <c r="D863" t="s">
        <v>12</v>
      </c>
      <c r="E863" t="s">
        <v>13</v>
      </c>
      <c r="F863" s="38">
        <v>2223</v>
      </c>
      <c r="G863" t="s">
        <v>20</v>
      </c>
      <c r="H863" t="s">
        <v>21</v>
      </c>
      <c r="I863" s="38">
        <v>878.4</v>
      </c>
      <c r="J863">
        <v>12</v>
      </c>
      <c r="K863">
        <v>0</v>
      </c>
    </row>
    <row r="864" hidden="1" spans="1:11">
      <c r="A864">
        <v>863</v>
      </c>
      <c r="B864">
        <v>40</v>
      </c>
      <c r="C864" t="s">
        <v>16</v>
      </c>
      <c r="D864" t="s">
        <v>12</v>
      </c>
      <c r="E864" t="s">
        <v>22</v>
      </c>
      <c r="F864" s="38">
        <v>4439</v>
      </c>
      <c r="G864" t="s">
        <v>14</v>
      </c>
      <c r="H864" t="s">
        <v>15</v>
      </c>
      <c r="I864" s="38">
        <v>3514.5</v>
      </c>
      <c r="J864">
        <v>11</v>
      </c>
      <c r="K864">
        <v>0</v>
      </c>
    </row>
    <row r="865" spans="1:11">
      <c r="A865">
        <v>864</v>
      </c>
      <c r="B865">
        <v>35</v>
      </c>
      <c r="C865" t="s">
        <v>16</v>
      </c>
      <c r="D865" t="s">
        <v>12</v>
      </c>
      <c r="E865" t="s">
        <v>23</v>
      </c>
      <c r="F865" s="38">
        <v>6193</v>
      </c>
      <c r="G865" t="s">
        <v>18</v>
      </c>
      <c r="H865" t="s">
        <v>25</v>
      </c>
      <c r="I865" s="38">
        <v>5524.2</v>
      </c>
      <c r="J865">
        <v>24</v>
      </c>
      <c r="K865">
        <v>0</v>
      </c>
    </row>
    <row r="866" hidden="1" spans="1:11">
      <c r="A866">
        <v>865</v>
      </c>
      <c r="B866">
        <v>31</v>
      </c>
      <c r="C866" t="s">
        <v>16</v>
      </c>
      <c r="D866" t="s">
        <v>12</v>
      </c>
      <c r="E866" t="s">
        <v>13</v>
      </c>
      <c r="F866" s="38">
        <v>5864</v>
      </c>
      <c r="G866" t="s">
        <v>14</v>
      </c>
      <c r="H866" t="s">
        <v>21</v>
      </c>
      <c r="I866" s="38">
        <v>698.4</v>
      </c>
      <c r="J866">
        <v>12</v>
      </c>
      <c r="K866">
        <v>0</v>
      </c>
    </row>
    <row r="867" hidden="1" spans="1:11">
      <c r="A867">
        <v>866</v>
      </c>
      <c r="B867">
        <v>54</v>
      </c>
      <c r="C867" t="s">
        <v>16</v>
      </c>
      <c r="D867" t="s">
        <v>17</v>
      </c>
      <c r="E867" t="s">
        <v>13</v>
      </c>
      <c r="F867" s="38">
        <v>2121</v>
      </c>
      <c r="G867" t="s">
        <v>14</v>
      </c>
      <c r="H867" t="s">
        <v>21</v>
      </c>
      <c r="I867" s="38">
        <v>1318.9</v>
      </c>
      <c r="J867">
        <v>24</v>
      </c>
      <c r="K867">
        <v>1</v>
      </c>
    </row>
    <row r="868" hidden="1" spans="1:11">
      <c r="A868">
        <v>867</v>
      </c>
      <c r="B868">
        <v>35</v>
      </c>
      <c r="C868" t="s">
        <v>16</v>
      </c>
      <c r="D868" t="s">
        <v>12</v>
      </c>
      <c r="E868" t="s">
        <v>13</v>
      </c>
      <c r="F868" s="38">
        <v>4200</v>
      </c>
      <c r="G868" t="s">
        <v>14</v>
      </c>
      <c r="H868" t="s">
        <v>21</v>
      </c>
      <c r="I868" s="38">
        <v>1396.8</v>
      </c>
      <c r="J868">
        <v>24</v>
      </c>
      <c r="K868">
        <v>0</v>
      </c>
    </row>
    <row r="869" hidden="1" spans="1:11">
      <c r="A869">
        <v>868</v>
      </c>
      <c r="B869">
        <v>31</v>
      </c>
      <c r="C869" t="s">
        <v>11</v>
      </c>
      <c r="D869" t="s">
        <v>17</v>
      </c>
      <c r="E869" t="s">
        <v>13</v>
      </c>
      <c r="F869" s="38">
        <v>3680</v>
      </c>
      <c r="G869" t="s">
        <v>14</v>
      </c>
      <c r="H869" t="s">
        <v>19</v>
      </c>
      <c r="I869" s="38">
        <v>1651.1</v>
      </c>
      <c r="J869">
        <v>9</v>
      </c>
      <c r="K869">
        <v>1</v>
      </c>
    </row>
    <row r="870" hidden="1" spans="1:11">
      <c r="A870">
        <v>869</v>
      </c>
      <c r="B870">
        <v>21</v>
      </c>
      <c r="C870" t="s">
        <v>11</v>
      </c>
      <c r="D870" t="s">
        <v>12</v>
      </c>
      <c r="E870" t="s">
        <v>13</v>
      </c>
      <c r="F870" s="38">
        <v>2219</v>
      </c>
      <c r="G870" t="s">
        <v>14</v>
      </c>
      <c r="H870" t="s">
        <v>21</v>
      </c>
      <c r="I870" s="38">
        <v>2137.3</v>
      </c>
      <c r="J870">
        <v>18</v>
      </c>
      <c r="K870">
        <v>1</v>
      </c>
    </row>
    <row r="871" hidden="1" spans="1:11">
      <c r="A871">
        <v>870</v>
      </c>
      <c r="B871">
        <v>33</v>
      </c>
      <c r="C871" t="s">
        <v>16</v>
      </c>
      <c r="D871" t="s">
        <v>12</v>
      </c>
      <c r="E871" t="s">
        <v>23</v>
      </c>
      <c r="F871" s="38">
        <v>1932</v>
      </c>
      <c r="G871" t="s">
        <v>14</v>
      </c>
      <c r="H871" t="s">
        <v>15</v>
      </c>
      <c r="I871" s="38">
        <v>2000.9</v>
      </c>
      <c r="J871">
        <v>36</v>
      </c>
      <c r="K871">
        <v>1</v>
      </c>
    </row>
    <row r="872" hidden="1" spans="1:11">
      <c r="A872">
        <v>871</v>
      </c>
      <c r="B872">
        <v>39</v>
      </c>
      <c r="C872" t="s">
        <v>16</v>
      </c>
      <c r="D872" t="s">
        <v>12</v>
      </c>
      <c r="E872" t="s">
        <v>13</v>
      </c>
      <c r="F872" s="38">
        <v>3990</v>
      </c>
      <c r="G872" t="s">
        <v>26</v>
      </c>
      <c r="H872" t="s">
        <v>25</v>
      </c>
      <c r="I872" s="38">
        <v>1269</v>
      </c>
      <c r="J872">
        <v>14</v>
      </c>
      <c r="K872">
        <v>0</v>
      </c>
    </row>
    <row r="873" hidden="1" spans="1:11">
      <c r="A873">
        <v>872</v>
      </c>
      <c r="B873">
        <v>54</v>
      </c>
      <c r="C873" t="s">
        <v>16</v>
      </c>
      <c r="D873" t="s">
        <v>24</v>
      </c>
      <c r="E873" t="s">
        <v>13</v>
      </c>
      <c r="F873" s="38">
        <v>4264</v>
      </c>
      <c r="G873" t="s">
        <v>14</v>
      </c>
      <c r="H873" t="s">
        <v>21</v>
      </c>
      <c r="I873" s="38">
        <v>576</v>
      </c>
      <c r="J873">
        <v>12</v>
      </c>
      <c r="K873">
        <v>0</v>
      </c>
    </row>
    <row r="874" hidden="1" spans="1:11">
      <c r="A874">
        <v>873</v>
      </c>
      <c r="B874">
        <v>33</v>
      </c>
      <c r="C874" t="s">
        <v>11</v>
      </c>
      <c r="D874" t="s">
        <v>12</v>
      </c>
      <c r="E874" t="s">
        <v>13</v>
      </c>
      <c r="F874" s="38">
        <v>2630</v>
      </c>
      <c r="G874" t="s">
        <v>14</v>
      </c>
      <c r="H874" t="s">
        <v>15</v>
      </c>
      <c r="I874" s="38">
        <v>1458</v>
      </c>
      <c r="J874">
        <v>12</v>
      </c>
      <c r="K874">
        <v>0</v>
      </c>
    </row>
    <row r="875" hidden="1" spans="1:11">
      <c r="A875">
        <v>874</v>
      </c>
      <c r="B875">
        <v>24</v>
      </c>
      <c r="C875" t="s">
        <v>11</v>
      </c>
      <c r="D875" t="s">
        <v>12</v>
      </c>
      <c r="E875" t="s">
        <v>13</v>
      </c>
      <c r="F875" s="38">
        <v>4206</v>
      </c>
      <c r="G875" t="s">
        <v>14</v>
      </c>
      <c r="H875" t="s">
        <v>15</v>
      </c>
      <c r="I875" s="38">
        <v>3435.3</v>
      </c>
      <c r="J875">
        <v>24</v>
      </c>
      <c r="K875">
        <v>1</v>
      </c>
    </row>
    <row r="876" hidden="1" spans="1:11">
      <c r="A876">
        <v>875</v>
      </c>
      <c r="B876">
        <v>23</v>
      </c>
      <c r="C876" t="s">
        <v>16</v>
      </c>
      <c r="D876" t="s">
        <v>12</v>
      </c>
      <c r="E876" t="s">
        <v>13</v>
      </c>
      <c r="F876" s="38">
        <v>3991</v>
      </c>
      <c r="G876" t="s">
        <v>14</v>
      </c>
      <c r="H876" t="s">
        <v>15</v>
      </c>
      <c r="I876" s="38">
        <v>834.9</v>
      </c>
      <c r="J876">
        <v>12</v>
      </c>
      <c r="K876">
        <v>1</v>
      </c>
    </row>
    <row r="877" hidden="1" spans="1:11">
      <c r="A877">
        <v>876</v>
      </c>
      <c r="B877">
        <v>28</v>
      </c>
      <c r="C877" t="s">
        <v>16</v>
      </c>
      <c r="D877" t="s">
        <v>12</v>
      </c>
      <c r="E877" t="s">
        <v>13</v>
      </c>
      <c r="F877" s="38">
        <v>1963</v>
      </c>
      <c r="G877" t="s">
        <v>14</v>
      </c>
      <c r="H877" t="s">
        <v>21</v>
      </c>
      <c r="I877" s="38">
        <v>1135.8</v>
      </c>
      <c r="J877">
        <v>12</v>
      </c>
      <c r="K877">
        <v>0</v>
      </c>
    </row>
    <row r="878" spans="1:11">
      <c r="A878">
        <v>877</v>
      </c>
      <c r="B878">
        <v>35</v>
      </c>
      <c r="C878" t="s">
        <v>16</v>
      </c>
      <c r="D878" t="s">
        <v>12</v>
      </c>
      <c r="E878" t="s">
        <v>13</v>
      </c>
      <c r="F878" s="38">
        <v>6540</v>
      </c>
      <c r="G878" t="s">
        <v>20</v>
      </c>
      <c r="H878" t="s">
        <v>21</v>
      </c>
      <c r="I878" s="38">
        <v>2680.2</v>
      </c>
      <c r="J878">
        <v>24</v>
      </c>
      <c r="K878">
        <v>0</v>
      </c>
    </row>
    <row r="879" hidden="1" spans="1:11">
      <c r="A879">
        <v>878</v>
      </c>
      <c r="B879">
        <v>68</v>
      </c>
      <c r="C879" t="s">
        <v>16</v>
      </c>
      <c r="D879" t="s">
        <v>12</v>
      </c>
      <c r="E879" t="s">
        <v>13</v>
      </c>
      <c r="F879" s="38">
        <v>4557</v>
      </c>
      <c r="G879" t="s">
        <v>26</v>
      </c>
      <c r="H879" t="s">
        <v>21</v>
      </c>
      <c r="I879" s="38">
        <v>1204.2</v>
      </c>
      <c r="J879">
        <v>6</v>
      </c>
      <c r="K879">
        <v>0</v>
      </c>
    </row>
    <row r="880" hidden="1" spans="1:11">
      <c r="A880">
        <v>879</v>
      </c>
      <c r="B880">
        <v>32</v>
      </c>
      <c r="C880" t="s">
        <v>16</v>
      </c>
      <c r="D880" t="s">
        <v>12</v>
      </c>
      <c r="E880" t="s">
        <v>13</v>
      </c>
      <c r="F880" s="38">
        <v>5886</v>
      </c>
      <c r="G880" t="s">
        <v>18</v>
      </c>
      <c r="H880" t="s">
        <v>25</v>
      </c>
      <c r="I880" s="38">
        <v>2606.4</v>
      </c>
      <c r="J880">
        <v>24</v>
      </c>
      <c r="K880">
        <v>0</v>
      </c>
    </row>
    <row r="881" hidden="1" spans="1:11">
      <c r="A881">
        <v>880</v>
      </c>
      <c r="B881">
        <v>33</v>
      </c>
      <c r="C881" t="s">
        <v>16</v>
      </c>
      <c r="D881" t="s">
        <v>12</v>
      </c>
      <c r="E881" t="s">
        <v>13</v>
      </c>
      <c r="F881" s="38">
        <v>4903</v>
      </c>
      <c r="G881" t="s">
        <v>20</v>
      </c>
      <c r="H881" t="s">
        <v>19</v>
      </c>
      <c r="I881" s="38">
        <v>1825.2</v>
      </c>
      <c r="J881">
        <v>12</v>
      </c>
      <c r="K881">
        <v>0</v>
      </c>
    </row>
    <row r="882" hidden="1" spans="1:11">
      <c r="A882">
        <v>881</v>
      </c>
      <c r="B882">
        <v>30</v>
      </c>
      <c r="C882" t="s">
        <v>16</v>
      </c>
      <c r="D882" t="s">
        <v>24</v>
      </c>
      <c r="E882" t="s">
        <v>13</v>
      </c>
      <c r="F882" s="38">
        <v>2210</v>
      </c>
      <c r="G882" t="s">
        <v>14</v>
      </c>
      <c r="H882" t="s">
        <v>21</v>
      </c>
      <c r="I882" s="38">
        <v>2437.2</v>
      </c>
      <c r="J882">
        <v>15</v>
      </c>
      <c r="K882">
        <v>0</v>
      </c>
    </row>
    <row r="883" hidden="1" spans="1:11">
      <c r="A883">
        <v>882</v>
      </c>
      <c r="B883">
        <v>53</v>
      </c>
      <c r="C883" t="s">
        <v>11</v>
      </c>
      <c r="D883" t="s">
        <v>24</v>
      </c>
      <c r="E883" t="s">
        <v>13</v>
      </c>
      <c r="F883" s="38">
        <v>2171</v>
      </c>
      <c r="G883" t="s">
        <v>20</v>
      </c>
      <c r="H883" t="s">
        <v>19</v>
      </c>
      <c r="I883" s="38">
        <v>3915.9</v>
      </c>
      <c r="J883">
        <v>24</v>
      </c>
      <c r="K883">
        <v>0</v>
      </c>
    </row>
    <row r="884" hidden="1" spans="1:11">
      <c r="A884">
        <v>883</v>
      </c>
      <c r="B884">
        <v>52</v>
      </c>
      <c r="C884" t="s">
        <v>11</v>
      </c>
      <c r="D884" t="s">
        <v>12</v>
      </c>
      <c r="E884" t="s">
        <v>23</v>
      </c>
      <c r="F884" s="38">
        <v>2320</v>
      </c>
      <c r="G884" t="s">
        <v>18</v>
      </c>
      <c r="H884" t="s">
        <v>19</v>
      </c>
      <c r="I884" s="38">
        <v>1239.3</v>
      </c>
      <c r="J884">
        <v>24</v>
      </c>
      <c r="K884">
        <v>0</v>
      </c>
    </row>
    <row r="885" hidden="1" spans="1:11">
      <c r="A885">
        <v>884</v>
      </c>
      <c r="B885">
        <v>26</v>
      </c>
      <c r="C885" t="s">
        <v>11</v>
      </c>
      <c r="D885" t="s">
        <v>12</v>
      </c>
      <c r="E885" t="s">
        <v>13</v>
      </c>
      <c r="F885" s="38">
        <v>3333</v>
      </c>
      <c r="G885" t="s">
        <v>14</v>
      </c>
      <c r="H885" t="s">
        <v>15</v>
      </c>
      <c r="I885" s="38">
        <v>4037</v>
      </c>
      <c r="J885">
        <v>21</v>
      </c>
      <c r="K885">
        <v>1</v>
      </c>
    </row>
    <row r="886" hidden="1" spans="1:11">
      <c r="A886">
        <v>885</v>
      </c>
      <c r="B886">
        <v>56</v>
      </c>
      <c r="C886" t="s">
        <v>16</v>
      </c>
      <c r="D886" t="s">
        <v>17</v>
      </c>
      <c r="E886" t="s">
        <v>23</v>
      </c>
      <c r="F886" s="38">
        <v>2595</v>
      </c>
      <c r="G886" t="s">
        <v>14</v>
      </c>
      <c r="H886" t="s">
        <v>15</v>
      </c>
      <c r="I886" s="38">
        <v>1047.6</v>
      </c>
      <c r="J886">
        <v>8</v>
      </c>
      <c r="K886">
        <v>0</v>
      </c>
    </row>
    <row r="887" hidden="1" spans="1:11">
      <c r="A887">
        <v>886</v>
      </c>
      <c r="B887">
        <v>45</v>
      </c>
      <c r="C887" t="s">
        <v>11</v>
      </c>
      <c r="D887" t="s">
        <v>12</v>
      </c>
      <c r="E887" t="s">
        <v>23</v>
      </c>
      <c r="F887" s="38">
        <v>1659</v>
      </c>
      <c r="G887" t="s">
        <v>18</v>
      </c>
      <c r="H887" t="s">
        <v>25</v>
      </c>
      <c r="I887" s="38">
        <v>2938.1</v>
      </c>
      <c r="J887">
        <v>36</v>
      </c>
      <c r="K887">
        <v>1</v>
      </c>
    </row>
    <row r="888" hidden="1" spans="1:11">
      <c r="A888">
        <v>887</v>
      </c>
      <c r="B888">
        <v>41</v>
      </c>
      <c r="C888" t="s">
        <v>11</v>
      </c>
      <c r="D888" t="s">
        <v>17</v>
      </c>
      <c r="E888" t="s">
        <v>23</v>
      </c>
      <c r="F888" s="38">
        <v>3740</v>
      </c>
      <c r="G888" t="s">
        <v>14</v>
      </c>
      <c r="H888" t="s">
        <v>19</v>
      </c>
      <c r="I888" s="38">
        <v>27673.8</v>
      </c>
      <c r="J888">
        <v>24</v>
      </c>
      <c r="K888">
        <v>1</v>
      </c>
    </row>
    <row r="889" hidden="1" spans="1:11">
      <c r="A889">
        <v>888</v>
      </c>
      <c r="B889">
        <v>36</v>
      </c>
      <c r="C889" t="s">
        <v>16</v>
      </c>
      <c r="D889" t="s">
        <v>12</v>
      </c>
      <c r="E889" t="s">
        <v>13</v>
      </c>
      <c r="F889" s="38">
        <v>4505</v>
      </c>
      <c r="G889" t="s">
        <v>14</v>
      </c>
      <c r="H889" t="s">
        <v>25</v>
      </c>
      <c r="I889" s="38">
        <v>1272.6</v>
      </c>
      <c r="J889">
        <v>8</v>
      </c>
      <c r="K889">
        <v>0</v>
      </c>
    </row>
    <row r="890" hidden="1" spans="1:11">
      <c r="A890">
        <v>889</v>
      </c>
      <c r="B890">
        <v>33</v>
      </c>
      <c r="C890" t="s">
        <v>16</v>
      </c>
      <c r="D890" t="s">
        <v>17</v>
      </c>
      <c r="E890" t="s">
        <v>13</v>
      </c>
      <c r="F890" s="38">
        <v>2585</v>
      </c>
      <c r="G890" t="s">
        <v>26</v>
      </c>
      <c r="H890" t="s">
        <v>21</v>
      </c>
      <c r="I890" s="38">
        <v>2099.7</v>
      </c>
      <c r="J890">
        <v>30</v>
      </c>
      <c r="K890">
        <v>0</v>
      </c>
    </row>
    <row r="891" hidden="1" spans="1:11">
      <c r="A891">
        <v>890</v>
      </c>
      <c r="B891">
        <v>41</v>
      </c>
      <c r="C891" t="s">
        <v>16</v>
      </c>
      <c r="D891" t="s">
        <v>24</v>
      </c>
      <c r="E891" t="s">
        <v>13</v>
      </c>
      <c r="F891" s="38">
        <v>5286</v>
      </c>
      <c r="G891" t="s">
        <v>14</v>
      </c>
      <c r="H891" t="s">
        <v>25</v>
      </c>
      <c r="I891" s="38">
        <v>1906.2</v>
      </c>
      <c r="J891">
        <v>9</v>
      </c>
      <c r="K891">
        <v>0</v>
      </c>
    </row>
    <row r="892" hidden="1" spans="1:11">
      <c r="A892">
        <v>891</v>
      </c>
      <c r="B892">
        <v>30</v>
      </c>
      <c r="C892" t="s">
        <v>11</v>
      </c>
      <c r="D892" t="s">
        <v>12</v>
      </c>
      <c r="E892" t="s">
        <v>22</v>
      </c>
      <c r="F892" s="38">
        <v>4619</v>
      </c>
      <c r="G892" t="s">
        <v>20</v>
      </c>
      <c r="H892" t="s">
        <v>15</v>
      </c>
      <c r="I892" s="38">
        <v>1918.8</v>
      </c>
      <c r="J892">
        <v>10</v>
      </c>
      <c r="K892">
        <v>0</v>
      </c>
    </row>
    <row r="893" hidden="1" spans="1:11">
      <c r="A893">
        <v>892</v>
      </c>
      <c r="B893">
        <v>46</v>
      </c>
      <c r="C893" t="s">
        <v>11</v>
      </c>
      <c r="D893" t="s">
        <v>12</v>
      </c>
      <c r="E893" t="s">
        <v>22</v>
      </c>
      <c r="F893" s="38">
        <v>2483</v>
      </c>
      <c r="G893" t="s">
        <v>26</v>
      </c>
      <c r="H893" t="s">
        <v>19</v>
      </c>
      <c r="I893" s="38">
        <v>368.1</v>
      </c>
      <c r="J893">
        <v>12</v>
      </c>
      <c r="K893">
        <v>0</v>
      </c>
    </row>
    <row r="894" hidden="1" spans="1:11">
      <c r="A894">
        <v>893</v>
      </c>
      <c r="B894">
        <v>35</v>
      </c>
      <c r="C894" t="s">
        <v>16</v>
      </c>
      <c r="D894" t="s">
        <v>12</v>
      </c>
      <c r="E894" t="s">
        <v>23</v>
      </c>
      <c r="F894" s="38">
        <v>2042</v>
      </c>
      <c r="G894" t="s">
        <v>14</v>
      </c>
      <c r="H894" t="s">
        <v>15</v>
      </c>
      <c r="I894" s="38">
        <v>11326.7</v>
      </c>
      <c r="J894">
        <v>48</v>
      </c>
      <c r="K894">
        <v>1</v>
      </c>
    </row>
    <row r="895" spans="1:11">
      <c r="A895">
        <v>894</v>
      </c>
      <c r="B895">
        <v>34</v>
      </c>
      <c r="C895" t="s">
        <v>11</v>
      </c>
      <c r="D895" t="s">
        <v>12</v>
      </c>
      <c r="E895" t="s">
        <v>22</v>
      </c>
      <c r="F895" s="38">
        <v>6555</v>
      </c>
      <c r="G895" t="s">
        <v>20</v>
      </c>
      <c r="H895" t="s">
        <v>21</v>
      </c>
      <c r="I895" s="38">
        <v>2610.9</v>
      </c>
      <c r="J895">
        <v>10</v>
      </c>
      <c r="K895">
        <v>0</v>
      </c>
    </row>
    <row r="896" hidden="1" spans="1:11">
      <c r="A896">
        <v>895</v>
      </c>
      <c r="B896">
        <v>41</v>
      </c>
      <c r="C896" t="s">
        <v>16</v>
      </c>
      <c r="D896" t="s">
        <v>12</v>
      </c>
      <c r="E896" t="s">
        <v>13</v>
      </c>
      <c r="F896" s="38">
        <v>4758</v>
      </c>
      <c r="G896" t="s">
        <v>14</v>
      </c>
      <c r="H896" t="s">
        <v>15</v>
      </c>
      <c r="I896" s="38">
        <v>3258</v>
      </c>
      <c r="J896">
        <v>36</v>
      </c>
      <c r="K896">
        <v>0</v>
      </c>
    </row>
    <row r="897" hidden="1" spans="1:11">
      <c r="A897">
        <v>896</v>
      </c>
      <c r="B897">
        <v>42</v>
      </c>
      <c r="C897" t="s">
        <v>11</v>
      </c>
      <c r="D897" t="s">
        <v>12</v>
      </c>
      <c r="E897" t="s">
        <v>13</v>
      </c>
      <c r="F897" s="38">
        <v>2317</v>
      </c>
      <c r="G897" t="s">
        <v>20</v>
      </c>
      <c r="H897" t="s">
        <v>15</v>
      </c>
      <c r="I897" s="38">
        <v>13074.6</v>
      </c>
      <c r="J897">
        <v>24</v>
      </c>
      <c r="K897">
        <v>1</v>
      </c>
    </row>
    <row r="898" hidden="1" spans="1:11">
      <c r="A898">
        <v>897</v>
      </c>
      <c r="B898">
        <v>45</v>
      </c>
      <c r="C898" t="s">
        <v>16</v>
      </c>
      <c r="D898" t="s">
        <v>24</v>
      </c>
      <c r="E898" t="s">
        <v>13</v>
      </c>
      <c r="F898" s="38">
        <v>2599</v>
      </c>
      <c r="G898" t="s">
        <v>14</v>
      </c>
      <c r="H898" t="s">
        <v>15</v>
      </c>
      <c r="I898" s="38">
        <v>595.8</v>
      </c>
      <c r="J898">
        <v>6</v>
      </c>
      <c r="K898">
        <v>0</v>
      </c>
    </row>
    <row r="899" hidden="1" spans="1:11">
      <c r="A899">
        <v>898</v>
      </c>
      <c r="B899">
        <v>43</v>
      </c>
      <c r="C899" t="s">
        <v>11</v>
      </c>
      <c r="D899" t="s">
        <v>12</v>
      </c>
      <c r="E899" t="s">
        <v>13</v>
      </c>
      <c r="F899" s="38">
        <v>2633</v>
      </c>
      <c r="G899" t="s">
        <v>14</v>
      </c>
      <c r="H899" t="s">
        <v>15</v>
      </c>
      <c r="I899" s="38">
        <v>774</v>
      </c>
      <c r="J899">
        <v>6</v>
      </c>
      <c r="K899">
        <v>0</v>
      </c>
    </row>
    <row r="900" hidden="1" spans="1:11">
      <c r="A900">
        <v>899</v>
      </c>
      <c r="B900">
        <v>30</v>
      </c>
      <c r="C900" t="s">
        <v>16</v>
      </c>
      <c r="D900" t="s">
        <v>12</v>
      </c>
      <c r="E900" t="s">
        <v>22</v>
      </c>
      <c r="F900" s="38">
        <v>3084</v>
      </c>
      <c r="G900" t="s">
        <v>14</v>
      </c>
      <c r="H900" t="s">
        <v>19</v>
      </c>
      <c r="I900" s="38">
        <v>2550.9</v>
      </c>
      <c r="J900">
        <v>21</v>
      </c>
      <c r="K900">
        <v>1</v>
      </c>
    </row>
    <row r="901" hidden="1" spans="1:11">
      <c r="A901">
        <v>900</v>
      </c>
      <c r="B901">
        <v>35</v>
      </c>
      <c r="C901" t="s">
        <v>16</v>
      </c>
      <c r="D901" t="s">
        <v>17</v>
      </c>
      <c r="E901" t="s">
        <v>13</v>
      </c>
      <c r="F901" s="38">
        <v>5335</v>
      </c>
      <c r="G901" t="s">
        <v>14</v>
      </c>
      <c r="H901" t="s">
        <v>15</v>
      </c>
      <c r="I901" s="38">
        <v>1692</v>
      </c>
      <c r="J901">
        <v>18</v>
      </c>
      <c r="K901">
        <v>0</v>
      </c>
    </row>
    <row r="902" hidden="1" spans="1:11">
      <c r="A902">
        <v>901</v>
      </c>
      <c r="B902">
        <v>31</v>
      </c>
      <c r="C902" t="s">
        <v>11</v>
      </c>
      <c r="D902" t="s">
        <v>12</v>
      </c>
      <c r="E902" t="s">
        <v>13</v>
      </c>
      <c r="F902" s="38">
        <v>2776</v>
      </c>
      <c r="G902" t="s">
        <v>14</v>
      </c>
      <c r="H902" t="s">
        <v>21</v>
      </c>
      <c r="I902" s="38">
        <v>1635.3</v>
      </c>
      <c r="J902">
        <v>18</v>
      </c>
      <c r="K902">
        <v>0</v>
      </c>
    </row>
    <row r="903" hidden="1" spans="1:11">
      <c r="A903">
        <v>902</v>
      </c>
      <c r="B903">
        <v>42</v>
      </c>
      <c r="C903" t="s">
        <v>16</v>
      </c>
      <c r="D903" t="s">
        <v>12</v>
      </c>
      <c r="E903" t="s">
        <v>13</v>
      </c>
      <c r="F903" s="38">
        <v>5694</v>
      </c>
      <c r="G903" t="s">
        <v>14</v>
      </c>
      <c r="H903" t="s">
        <v>21</v>
      </c>
      <c r="I903" s="38">
        <v>723.6</v>
      </c>
      <c r="J903">
        <v>12</v>
      </c>
      <c r="K903">
        <v>0</v>
      </c>
    </row>
    <row r="904" hidden="1" spans="1:11">
      <c r="A904">
        <v>903</v>
      </c>
      <c r="B904">
        <v>42</v>
      </c>
      <c r="C904" t="s">
        <v>11</v>
      </c>
      <c r="D904" t="s">
        <v>12</v>
      </c>
      <c r="E904" t="s">
        <v>23</v>
      </c>
      <c r="F904" s="38">
        <v>2583</v>
      </c>
      <c r="G904" t="s">
        <v>18</v>
      </c>
      <c r="H904" t="s">
        <v>21</v>
      </c>
      <c r="I904" s="38">
        <v>13873.2</v>
      </c>
      <c r="J904">
        <v>36</v>
      </c>
      <c r="K904">
        <v>1</v>
      </c>
    </row>
    <row r="905" hidden="1" spans="1:11">
      <c r="A905">
        <v>904</v>
      </c>
      <c r="B905">
        <v>29</v>
      </c>
      <c r="C905" t="s">
        <v>16</v>
      </c>
      <c r="D905" t="s">
        <v>12</v>
      </c>
      <c r="E905" t="s">
        <v>13</v>
      </c>
      <c r="F905" s="38">
        <v>4309</v>
      </c>
      <c r="G905" t="s">
        <v>14</v>
      </c>
      <c r="H905" t="s">
        <v>21</v>
      </c>
      <c r="I905" s="38">
        <v>4605.3</v>
      </c>
      <c r="J905">
        <v>27</v>
      </c>
      <c r="K905">
        <v>0</v>
      </c>
    </row>
    <row r="906" spans="1:11">
      <c r="A906">
        <v>905</v>
      </c>
      <c r="B906">
        <v>36</v>
      </c>
      <c r="C906" t="s">
        <v>16</v>
      </c>
      <c r="D906" t="s">
        <v>17</v>
      </c>
      <c r="E906" t="s">
        <v>13</v>
      </c>
      <c r="F906" s="38">
        <v>6598</v>
      </c>
      <c r="G906" t="s">
        <v>14</v>
      </c>
      <c r="H906" t="s">
        <v>25</v>
      </c>
      <c r="I906" s="38">
        <v>3995.1</v>
      </c>
      <c r="J906">
        <v>18</v>
      </c>
      <c r="K906">
        <v>0</v>
      </c>
    </row>
    <row r="907" hidden="1" spans="1:11">
      <c r="A907">
        <v>906</v>
      </c>
      <c r="B907">
        <v>35</v>
      </c>
      <c r="C907" t="s">
        <v>11</v>
      </c>
      <c r="D907" t="s">
        <v>12</v>
      </c>
      <c r="E907" t="s">
        <v>13</v>
      </c>
      <c r="F907" s="38">
        <v>2022</v>
      </c>
      <c r="G907" t="s">
        <v>14</v>
      </c>
      <c r="H907" t="s">
        <v>25</v>
      </c>
      <c r="I907" s="38">
        <v>2275.2</v>
      </c>
      <c r="J907">
        <v>27</v>
      </c>
      <c r="K907">
        <v>0</v>
      </c>
    </row>
    <row r="908" hidden="1" spans="1:11">
      <c r="A908">
        <v>907</v>
      </c>
      <c r="B908">
        <v>30</v>
      </c>
      <c r="C908" t="s">
        <v>16</v>
      </c>
      <c r="D908" t="s">
        <v>12</v>
      </c>
      <c r="E908" t="s">
        <v>13</v>
      </c>
      <c r="F908" s="38">
        <v>1942</v>
      </c>
      <c r="G908" t="s">
        <v>18</v>
      </c>
      <c r="H908" t="s">
        <v>21</v>
      </c>
      <c r="I908" s="38">
        <v>2216.7</v>
      </c>
      <c r="J908">
        <v>24</v>
      </c>
      <c r="K908">
        <v>0</v>
      </c>
    </row>
    <row r="909" spans="1:11">
      <c r="A909">
        <v>908</v>
      </c>
      <c r="B909">
        <v>45</v>
      </c>
      <c r="C909" t="s">
        <v>16</v>
      </c>
      <c r="D909" t="s">
        <v>12</v>
      </c>
      <c r="E909" t="s">
        <v>22</v>
      </c>
      <c r="F909" s="38">
        <v>6644</v>
      </c>
      <c r="G909" t="s">
        <v>14</v>
      </c>
      <c r="H909" t="s">
        <v>21</v>
      </c>
      <c r="I909" s="38">
        <v>1352.7</v>
      </c>
      <c r="J909">
        <v>12</v>
      </c>
      <c r="K909">
        <v>0</v>
      </c>
    </row>
    <row r="910" hidden="1" spans="1:11">
      <c r="A910">
        <v>909</v>
      </c>
      <c r="B910">
        <v>23</v>
      </c>
      <c r="C910" t="s">
        <v>11</v>
      </c>
      <c r="D910" t="s">
        <v>17</v>
      </c>
      <c r="E910" t="s">
        <v>13</v>
      </c>
      <c r="F910" s="38">
        <v>2563</v>
      </c>
      <c r="G910" t="s">
        <v>14</v>
      </c>
      <c r="H910" t="s">
        <v>19</v>
      </c>
      <c r="I910" s="38">
        <v>669.9</v>
      </c>
      <c r="J910">
        <v>12</v>
      </c>
      <c r="K910">
        <v>1</v>
      </c>
    </row>
    <row r="911" hidden="1" spans="1:11">
      <c r="A911">
        <v>910</v>
      </c>
      <c r="B911">
        <v>36</v>
      </c>
      <c r="C911" t="s">
        <v>16</v>
      </c>
      <c r="D911" t="s">
        <v>12</v>
      </c>
      <c r="E911" t="s">
        <v>13</v>
      </c>
      <c r="F911" s="38">
        <v>2940</v>
      </c>
      <c r="G911" t="s">
        <v>20</v>
      </c>
      <c r="H911" t="s">
        <v>21</v>
      </c>
      <c r="I911" s="38">
        <v>2766.6</v>
      </c>
      <c r="J911">
        <v>9</v>
      </c>
      <c r="K911">
        <v>0</v>
      </c>
    </row>
    <row r="912" hidden="1" spans="1:11">
      <c r="A912">
        <v>911</v>
      </c>
      <c r="B912">
        <v>23</v>
      </c>
      <c r="C912" t="s">
        <v>11</v>
      </c>
      <c r="D912" t="s">
        <v>17</v>
      </c>
      <c r="E912" t="s">
        <v>13</v>
      </c>
      <c r="F912" s="38">
        <v>1364</v>
      </c>
      <c r="G912" t="s">
        <v>14</v>
      </c>
      <c r="H912" t="s">
        <v>21</v>
      </c>
      <c r="I912" s="38">
        <v>4909.3</v>
      </c>
      <c r="J912">
        <v>36</v>
      </c>
      <c r="K912">
        <v>1</v>
      </c>
    </row>
    <row r="913" hidden="1" spans="1:11">
      <c r="A913">
        <v>912</v>
      </c>
      <c r="B913">
        <v>33</v>
      </c>
      <c r="C913" t="s">
        <v>16</v>
      </c>
      <c r="D913" t="s">
        <v>17</v>
      </c>
      <c r="E913" t="s">
        <v>23</v>
      </c>
      <c r="F913" s="38">
        <v>2759</v>
      </c>
      <c r="G913" t="s">
        <v>20</v>
      </c>
      <c r="H913" t="s">
        <v>19</v>
      </c>
      <c r="I913" s="38">
        <v>13627.9</v>
      </c>
      <c r="J913">
        <v>36</v>
      </c>
      <c r="K913">
        <v>1</v>
      </c>
    </row>
    <row r="914" hidden="1" spans="1:11">
      <c r="A914">
        <v>913</v>
      </c>
      <c r="B914">
        <v>28</v>
      </c>
      <c r="C914" t="s">
        <v>11</v>
      </c>
      <c r="D914" t="s">
        <v>24</v>
      </c>
      <c r="E914" t="s">
        <v>13</v>
      </c>
      <c r="F914" s="38">
        <v>5377</v>
      </c>
      <c r="G914" t="s">
        <v>18</v>
      </c>
      <c r="H914" t="s">
        <v>25</v>
      </c>
      <c r="I914" s="38">
        <v>2367.9</v>
      </c>
      <c r="J914">
        <v>15</v>
      </c>
      <c r="K914">
        <v>0</v>
      </c>
    </row>
    <row r="915" hidden="1" spans="1:11">
      <c r="A915">
        <v>914</v>
      </c>
      <c r="B915">
        <v>48</v>
      </c>
      <c r="C915" t="s">
        <v>16</v>
      </c>
      <c r="D915" t="s">
        <v>12</v>
      </c>
      <c r="E915" t="s">
        <v>22</v>
      </c>
      <c r="F915" s="38">
        <v>4602</v>
      </c>
      <c r="G915" t="s">
        <v>26</v>
      </c>
      <c r="H915" t="s">
        <v>15</v>
      </c>
      <c r="I915" s="38">
        <v>2382.3</v>
      </c>
      <c r="J915">
        <v>6</v>
      </c>
      <c r="K915">
        <v>0</v>
      </c>
    </row>
    <row r="916" hidden="1" spans="1:11">
      <c r="A916">
        <v>915</v>
      </c>
      <c r="B916">
        <v>27</v>
      </c>
      <c r="C916" t="s">
        <v>16</v>
      </c>
      <c r="D916" t="s">
        <v>17</v>
      </c>
      <c r="E916" t="s">
        <v>13</v>
      </c>
      <c r="F916" s="38">
        <v>4202</v>
      </c>
      <c r="G916" t="s">
        <v>18</v>
      </c>
      <c r="H916" t="s">
        <v>25</v>
      </c>
      <c r="I916" s="38">
        <v>2110.9</v>
      </c>
      <c r="J916">
        <v>30</v>
      </c>
      <c r="K916">
        <v>1</v>
      </c>
    </row>
    <row r="917" spans="1:11">
      <c r="A917">
        <v>916</v>
      </c>
      <c r="B917">
        <v>36</v>
      </c>
      <c r="C917" t="s">
        <v>11</v>
      </c>
      <c r="D917" t="s">
        <v>24</v>
      </c>
      <c r="E917" t="s">
        <v>13</v>
      </c>
      <c r="F917" s="38">
        <v>6520</v>
      </c>
      <c r="G917" t="s">
        <v>20</v>
      </c>
      <c r="H917" t="s">
        <v>19</v>
      </c>
      <c r="I917" s="38">
        <v>2875.5</v>
      </c>
      <c r="J917">
        <v>9</v>
      </c>
      <c r="K917">
        <v>0</v>
      </c>
    </row>
    <row r="918" hidden="1" spans="1:11">
      <c r="A918">
        <v>917</v>
      </c>
      <c r="B918">
        <v>30</v>
      </c>
      <c r="C918" t="s">
        <v>16</v>
      </c>
      <c r="D918" t="s">
        <v>17</v>
      </c>
      <c r="E918" t="s">
        <v>22</v>
      </c>
      <c r="F918" s="38">
        <v>2743</v>
      </c>
      <c r="G918" t="s">
        <v>14</v>
      </c>
      <c r="H918" t="s">
        <v>21</v>
      </c>
      <c r="I918" s="38">
        <v>5328.4</v>
      </c>
      <c r="J918">
        <v>48</v>
      </c>
      <c r="K918">
        <v>1</v>
      </c>
    </row>
    <row r="919" hidden="1" spans="1:11">
      <c r="A919">
        <v>918</v>
      </c>
      <c r="B919">
        <v>34</v>
      </c>
      <c r="C919" t="s">
        <v>16</v>
      </c>
      <c r="D919" t="s">
        <v>12</v>
      </c>
      <c r="E919" t="s">
        <v>22</v>
      </c>
      <c r="F919" s="38">
        <v>5169</v>
      </c>
      <c r="G919" t="s">
        <v>14</v>
      </c>
      <c r="H919" t="s">
        <v>21</v>
      </c>
      <c r="I919" s="38">
        <v>3132</v>
      </c>
      <c r="J919">
        <v>6</v>
      </c>
      <c r="K919">
        <v>0</v>
      </c>
    </row>
    <row r="920" hidden="1" spans="1:11">
      <c r="A920">
        <v>919</v>
      </c>
      <c r="B920">
        <v>34</v>
      </c>
      <c r="C920" t="s">
        <v>16</v>
      </c>
      <c r="D920" t="s">
        <v>17</v>
      </c>
      <c r="E920" t="s">
        <v>23</v>
      </c>
      <c r="F920" s="38">
        <v>1636</v>
      </c>
      <c r="G920" t="s">
        <v>18</v>
      </c>
      <c r="H920" t="s">
        <v>15</v>
      </c>
      <c r="I920" s="38">
        <v>8456.8</v>
      </c>
      <c r="J920">
        <v>48</v>
      </c>
      <c r="K920">
        <v>1</v>
      </c>
    </row>
    <row r="921" hidden="1" spans="1:11">
      <c r="A921">
        <v>920</v>
      </c>
      <c r="B921">
        <v>28</v>
      </c>
      <c r="C921" t="s">
        <v>16</v>
      </c>
      <c r="D921" t="s">
        <v>12</v>
      </c>
      <c r="E921" t="s">
        <v>13</v>
      </c>
      <c r="F921" s="38">
        <v>1875</v>
      </c>
      <c r="G921" t="s">
        <v>18</v>
      </c>
      <c r="H921" t="s">
        <v>15</v>
      </c>
      <c r="I921" s="38">
        <v>7264.8</v>
      </c>
      <c r="J921">
        <v>30</v>
      </c>
      <c r="K921">
        <v>0</v>
      </c>
    </row>
    <row r="922" hidden="1" spans="1:11">
      <c r="A922">
        <v>921</v>
      </c>
      <c r="B922">
        <v>23</v>
      </c>
      <c r="C922" t="s">
        <v>11</v>
      </c>
      <c r="D922" t="s">
        <v>12</v>
      </c>
      <c r="E922" t="s">
        <v>13</v>
      </c>
      <c r="F922" s="38">
        <v>3288</v>
      </c>
      <c r="G922" t="s">
        <v>20</v>
      </c>
      <c r="H922" t="s">
        <v>19</v>
      </c>
      <c r="I922" s="38">
        <v>3038.2</v>
      </c>
      <c r="J922">
        <v>12</v>
      </c>
      <c r="K922">
        <v>1</v>
      </c>
    </row>
    <row r="923" hidden="1" spans="1:11">
      <c r="A923">
        <v>922</v>
      </c>
      <c r="B923">
        <v>63</v>
      </c>
      <c r="C923" t="s">
        <v>11</v>
      </c>
      <c r="D923" t="s">
        <v>24</v>
      </c>
      <c r="E923" t="s">
        <v>23</v>
      </c>
      <c r="F923" s="38">
        <v>3013</v>
      </c>
      <c r="G923" t="s">
        <v>14</v>
      </c>
      <c r="H923" t="s">
        <v>21</v>
      </c>
      <c r="I923" s="38">
        <v>2473.2</v>
      </c>
      <c r="J923">
        <v>12</v>
      </c>
      <c r="K923">
        <v>0</v>
      </c>
    </row>
    <row r="924" hidden="1" spans="1:11">
      <c r="A924">
        <v>923</v>
      </c>
      <c r="B924">
        <v>48</v>
      </c>
      <c r="C924" t="s">
        <v>16</v>
      </c>
      <c r="D924" t="s">
        <v>12</v>
      </c>
      <c r="E924" t="s">
        <v>13</v>
      </c>
      <c r="F924" s="38">
        <v>4841</v>
      </c>
      <c r="G924" t="s">
        <v>26</v>
      </c>
      <c r="H924" t="s">
        <v>21</v>
      </c>
      <c r="I924" s="38">
        <v>2137.5</v>
      </c>
      <c r="J924">
        <v>24</v>
      </c>
      <c r="K924">
        <v>0</v>
      </c>
    </row>
    <row r="925" hidden="1" spans="1:11">
      <c r="A925">
        <v>924</v>
      </c>
      <c r="B925">
        <v>29</v>
      </c>
      <c r="C925" t="s">
        <v>11</v>
      </c>
      <c r="D925" t="s">
        <v>12</v>
      </c>
      <c r="E925" t="s">
        <v>22</v>
      </c>
      <c r="F925" s="38">
        <v>5588</v>
      </c>
      <c r="G925" t="s">
        <v>14</v>
      </c>
      <c r="H925" t="s">
        <v>15</v>
      </c>
      <c r="I925" s="38">
        <v>2579.4</v>
      </c>
      <c r="J925">
        <v>15</v>
      </c>
      <c r="K925">
        <v>0</v>
      </c>
    </row>
    <row r="926" hidden="1" spans="1:11">
      <c r="A926">
        <v>925</v>
      </c>
      <c r="B926">
        <v>22</v>
      </c>
      <c r="C926" t="s">
        <v>11</v>
      </c>
      <c r="D926" t="s">
        <v>12</v>
      </c>
      <c r="E926" t="s">
        <v>13</v>
      </c>
      <c r="F926" s="38">
        <v>4080</v>
      </c>
      <c r="G926" t="s">
        <v>14</v>
      </c>
      <c r="H926" t="s">
        <v>25</v>
      </c>
      <c r="I926" s="38">
        <v>1770.3</v>
      </c>
      <c r="J926">
        <v>24</v>
      </c>
      <c r="K926">
        <v>0</v>
      </c>
    </row>
    <row r="927" hidden="1" spans="1:11">
      <c r="A927">
        <v>926</v>
      </c>
      <c r="B927">
        <v>31</v>
      </c>
      <c r="C927" t="s">
        <v>16</v>
      </c>
      <c r="D927" t="s">
        <v>12</v>
      </c>
      <c r="E927" t="s">
        <v>13</v>
      </c>
      <c r="F927" s="38">
        <v>3499</v>
      </c>
      <c r="G927" t="s">
        <v>26</v>
      </c>
      <c r="H927" t="s">
        <v>21</v>
      </c>
      <c r="I927" s="38">
        <v>1927.8</v>
      </c>
      <c r="J927">
        <v>11</v>
      </c>
      <c r="K927">
        <v>0</v>
      </c>
    </row>
    <row r="928" spans="1:11">
      <c r="A928">
        <v>927</v>
      </c>
      <c r="B928">
        <v>39</v>
      </c>
      <c r="C928" t="s">
        <v>16</v>
      </c>
      <c r="D928" t="s">
        <v>12</v>
      </c>
      <c r="E928" t="s">
        <v>13</v>
      </c>
      <c r="F928" s="38">
        <v>6659</v>
      </c>
      <c r="G928" t="s">
        <v>20</v>
      </c>
      <c r="H928" t="s">
        <v>19</v>
      </c>
      <c r="I928" s="38">
        <v>3578.4</v>
      </c>
      <c r="J928">
        <v>21</v>
      </c>
      <c r="K928">
        <v>0</v>
      </c>
    </row>
    <row r="929" hidden="1" spans="1:11">
      <c r="A929">
        <v>928</v>
      </c>
      <c r="B929">
        <v>69</v>
      </c>
      <c r="C929" t="s">
        <v>16</v>
      </c>
      <c r="D929" t="s">
        <v>12</v>
      </c>
      <c r="E929" t="s">
        <v>23</v>
      </c>
      <c r="F929" s="38">
        <v>2501</v>
      </c>
      <c r="G929" t="s">
        <v>14</v>
      </c>
      <c r="H929" t="s">
        <v>19</v>
      </c>
      <c r="I929" s="38">
        <v>702.9</v>
      </c>
      <c r="J929">
        <v>10</v>
      </c>
      <c r="K929">
        <v>0</v>
      </c>
    </row>
    <row r="930" hidden="1" spans="1:11">
      <c r="A930">
        <v>929</v>
      </c>
      <c r="B930">
        <v>21</v>
      </c>
      <c r="C930" t="s">
        <v>11</v>
      </c>
      <c r="D930" t="s">
        <v>17</v>
      </c>
      <c r="E930" t="s">
        <v>22</v>
      </c>
      <c r="F930" s="38">
        <v>3605</v>
      </c>
      <c r="G930" t="s">
        <v>18</v>
      </c>
      <c r="H930" t="s">
        <v>19</v>
      </c>
      <c r="I930" s="38">
        <v>4709.1</v>
      </c>
      <c r="J930">
        <v>33</v>
      </c>
      <c r="K930">
        <v>1</v>
      </c>
    </row>
    <row r="931" spans="1:11">
      <c r="A931">
        <v>930</v>
      </c>
      <c r="B931">
        <v>32</v>
      </c>
      <c r="C931" t="s">
        <v>11</v>
      </c>
      <c r="D931" t="s">
        <v>12</v>
      </c>
      <c r="E931" t="s">
        <v>13</v>
      </c>
      <c r="F931" s="38">
        <v>6457</v>
      </c>
      <c r="G931" t="s">
        <v>14</v>
      </c>
      <c r="H931" t="s">
        <v>21</v>
      </c>
      <c r="I931" s="38">
        <v>1953.9</v>
      </c>
      <c r="J931">
        <v>12</v>
      </c>
      <c r="K931">
        <v>0</v>
      </c>
    </row>
    <row r="932" hidden="1" spans="1:11">
      <c r="A932">
        <v>931</v>
      </c>
      <c r="B932">
        <v>40</v>
      </c>
      <c r="C932" t="s">
        <v>16</v>
      </c>
      <c r="D932" t="s">
        <v>12</v>
      </c>
      <c r="E932" t="s">
        <v>13</v>
      </c>
      <c r="F932" s="38">
        <v>2398</v>
      </c>
      <c r="G932" t="s">
        <v>26</v>
      </c>
      <c r="H932" t="s">
        <v>21</v>
      </c>
      <c r="I932" s="38">
        <v>1135.8</v>
      </c>
      <c r="J932">
        <v>15</v>
      </c>
      <c r="K932">
        <v>0</v>
      </c>
    </row>
    <row r="933" hidden="1" spans="1:11">
      <c r="A933">
        <v>932</v>
      </c>
      <c r="B933">
        <v>46</v>
      </c>
      <c r="C933" t="s">
        <v>16</v>
      </c>
      <c r="D933" t="s">
        <v>12</v>
      </c>
      <c r="E933" t="s">
        <v>23</v>
      </c>
      <c r="F933" s="38">
        <v>1813</v>
      </c>
      <c r="G933" t="s">
        <v>18</v>
      </c>
      <c r="H933" t="s">
        <v>15</v>
      </c>
      <c r="I933" s="38">
        <v>8262.1</v>
      </c>
      <c r="J933">
        <v>18</v>
      </c>
      <c r="K933">
        <v>1</v>
      </c>
    </row>
    <row r="934" hidden="1" spans="1:11">
      <c r="A934">
        <v>933</v>
      </c>
      <c r="B934">
        <v>36</v>
      </c>
      <c r="C934" t="s">
        <v>16</v>
      </c>
      <c r="D934" t="s">
        <v>12</v>
      </c>
      <c r="E934" t="s">
        <v>13</v>
      </c>
      <c r="F934" s="38">
        <v>1794</v>
      </c>
      <c r="G934" t="s">
        <v>14</v>
      </c>
      <c r="H934" t="s">
        <v>21</v>
      </c>
      <c r="I934" s="38">
        <v>2203.2</v>
      </c>
      <c r="J934">
        <v>9</v>
      </c>
      <c r="K934">
        <v>0</v>
      </c>
    </row>
    <row r="935" hidden="1" spans="1:11">
      <c r="A935">
        <v>934</v>
      </c>
      <c r="B935">
        <v>48</v>
      </c>
      <c r="C935" t="s">
        <v>16</v>
      </c>
      <c r="D935" t="s">
        <v>12</v>
      </c>
      <c r="E935" t="s">
        <v>23</v>
      </c>
      <c r="F935" s="38">
        <v>4270</v>
      </c>
      <c r="G935" t="s">
        <v>20</v>
      </c>
      <c r="H935" t="s">
        <v>15</v>
      </c>
      <c r="I935" s="38">
        <v>7830.9</v>
      </c>
      <c r="J935">
        <v>48</v>
      </c>
      <c r="K935">
        <v>1</v>
      </c>
    </row>
    <row r="936" hidden="1" spans="1:11">
      <c r="A936">
        <v>935</v>
      </c>
      <c r="B936">
        <v>50</v>
      </c>
      <c r="C936" t="s">
        <v>11</v>
      </c>
      <c r="D936" t="s">
        <v>24</v>
      </c>
      <c r="E936" t="s">
        <v>13</v>
      </c>
      <c r="F936" s="38">
        <v>3449</v>
      </c>
      <c r="G936" t="s">
        <v>14</v>
      </c>
      <c r="H936" t="s">
        <v>19</v>
      </c>
      <c r="I936" s="38">
        <v>2744.1</v>
      </c>
      <c r="J936">
        <v>18</v>
      </c>
      <c r="K936">
        <v>0</v>
      </c>
    </row>
    <row r="937" hidden="1" spans="1:11">
      <c r="A937">
        <v>936</v>
      </c>
      <c r="B937">
        <v>20</v>
      </c>
      <c r="C937" t="s">
        <v>11</v>
      </c>
      <c r="D937" t="s">
        <v>12</v>
      </c>
      <c r="E937" t="s">
        <v>13</v>
      </c>
      <c r="F937" s="38">
        <v>2263</v>
      </c>
      <c r="G937" t="s">
        <v>14</v>
      </c>
      <c r="H937" t="s">
        <v>21</v>
      </c>
      <c r="I937" s="38">
        <v>1988.8</v>
      </c>
      <c r="J937">
        <v>18</v>
      </c>
      <c r="K937">
        <v>1</v>
      </c>
    </row>
    <row r="938" hidden="1" spans="1:11">
      <c r="A938">
        <v>937</v>
      </c>
      <c r="B938">
        <v>42</v>
      </c>
      <c r="C938" t="s">
        <v>11</v>
      </c>
      <c r="D938" t="s">
        <v>12</v>
      </c>
      <c r="E938" t="s">
        <v>13</v>
      </c>
      <c r="F938" s="38">
        <v>2351</v>
      </c>
      <c r="G938" t="s">
        <v>14</v>
      </c>
      <c r="H938" t="s">
        <v>21</v>
      </c>
      <c r="I938" s="38">
        <v>1379.7</v>
      </c>
      <c r="J938">
        <v>24</v>
      </c>
      <c r="K938">
        <v>0</v>
      </c>
    </row>
    <row r="939" hidden="1" spans="1:11">
      <c r="A939">
        <v>938</v>
      </c>
      <c r="B939">
        <v>29</v>
      </c>
      <c r="C939" t="s">
        <v>16</v>
      </c>
      <c r="D939" t="s">
        <v>12</v>
      </c>
      <c r="E939" t="s">
        <v>22</v>
      </c>
      <c r="F939" s="38">
        <v>3263</v>
      </c>
      <c r="G939" t="s">
        <v>20</v>
      </c>
      <c r="H939" t="s">
        <v>21</v>
      </c>
      <c r="I939" s="38">
        <v>2200.5</v>
      </c>
      <c r="J939">
        <v>12</v>
      </c>
      <c r="K939">
        <v>0</v>
      </c>
    </row>
    <row r="940" hidden="1" spans="1:11">
      <c r="A940">
        <v>939</v>
      </c>
      <c r="B940">
        <v>39</v>
      </c>
      <c r="C940" t="s">
        <v>11</v>
      </c>
      <c r="D940" t="s">
        <v>24</v>
      </c>
      <c r="E940" t="s">
        <v>13</v>
      </c>
      <c r="F940" s="38">
        <v>2059</v>
      </c>
      <c r="G940" t="s">
        <v>14</v>
      </c>
      <c r="H940" t="s">
        <v>15</v>
      </c>
      <c r="I940" s="38">
        <v>9649.8</v>
      </c>
      <c r="J940">
        <v>47</v>
      </c>
      <c r="K940">
        <v>0</v>
      </c>
    </row>
    <row r="941" hidden="1" spans="1:11">
      <c r="A941">
        <v>940</v>
      </c>
      <c r="B941">
        <v>33</v>
      </c>
      <c r="C941" t="s">
        <v>11</v>
      </c>
      <c r="D941" t="s">
        <v>12</v>
      </c>
      <c r="E941" t="s">
        <v>22</v>
      </c>
      <c r="F941" s="38">
        <v>3630</v>
      </c>
      <c r="G941" t="s">
        <v>14</v>
      </c>
      <c r="H941" t="s">
        <v>15</v>
      </c>
      <c r="I941" s="38">
        <v>8453.5</v>
      </c>
      <c r="J941">
        <v>48</v>
      </c>
      <c r="K941">
        <v>1</v>
      </c>
    </row>
    <row r="942" hidden="1" spans="1:11">
      <c r="A942">
        <v>941</v>
      </c>
      <c r="B942">
        <v>35</v>
      </c>
      <c r="C942" t="s">
        <v>16</v>
      </c>
      <c r="D942" t="s">
        <v>12</v>
      </c>
      <c r="E942" t="s">
        <v>22</v>
      </c>
      <c r="F942" s="38">
        <v>3080</v>
      </c>
      <c r="G942" t="s">
        <v>14</v>
      </c>
      <c r="H942" t="s">
        <v>25</v>
      </c>
      <c r="I942" s="38">
        <v>3603.6</v>
      </c>
      <c r="J942">
        <v>12</v>
      </c>
      <c r="K942">
        <v>0</v>
      </c>
    </row>
    <row r="943" hidden="1" spans="1:11">
      <c r="A943">
        <v>942</v>
      </c>
      <c r="B943">
        <v>45</v>
      </c>
      <c r="C943" t="s">
        <v>16</v>
      </c>
      <c r="D943" t="s">
        <v>12</v>
      </c>
      <c r="E943" t="s">
        <v>13</v>
      </c>
      <c r="F943" s="38">
        <v>4853</v>
      </c>
      <c r="G943" t="s">
        <v>14</v>
      </c>
      <c r="H943" t="s">
        <v>25</v>
      </c>
      <c r="I943" s="38">
        <v>5724.9</v>
      </c>
      <c r="J943">
        <v>18</v>
      </c>
      <c r="K943">
        <v>0</v>
      </c>
    </row>
    <row r="944" hidden="1" spans="1:11">
      <c r="A944">
        <v>943</v>
      </c>
      <c r="B944">
        <v>36</v>
      </c>
      <c r="C944" t="s">
        <v>16</v>
      </c>
      <c r="D944" t="s">
        <v>12</v>
      </c>
      <c r="E944" t="s">
        <v>13</v>
      </c>
      <c r="F944" s="38">
        <v>5082</v>
      </c>
      <c r="G944" t="s">
        <v>14</v>
      </c>
      <c r="H944" t="s">
        <v>25</v>
      </c>
      <c r="I944" s="38">
        <v>5762.7</v>
      </c>
      <c r="J944">
        <v>24</v>
      </c>
      <c r="K944">
        <v>0</v>
      </c>
    </row>
    <row r="945" hidden="1" spans="1:11">
      <c r="A945">
        <v>944</v>
      </c>
      <c r="B945">
        <v>29</v>
      </c>
      <c r="C945" t="s">
        <v>11</v>
      </c>
      <c r="D945" t="s">
        <v>12</v>
      </c>
      <c r="E945" t="s">
        <v>13</v>
      </c>
      <c r="F945" s="38">
        <v>1953</v>
      </c>
      <c r="G945" t="s">
        <v>14</v>
      </c>
      <c r="H945" t="s">
        <v>21</v>
      </c>
      <c r="I945" s="38">
        <v>5072.1</v>
      </c>
      <c r="J945">
        <v>6</v>
      </c>
      <c r="K945">
        <v>1</v>
      </c>
    </row>
    <row r="946" hidden="1" spans="1:11">
      <c r="A946">
        <v>945</v>
      </c>
      <c r="B946">
        <v>32</v>
      </c>
      <c r="C946" t="s">
        <v>16</v>
      </c>
      <c r="D946" t="s">
        <v>12</v>
      </c>
      <c r="E946" t="s">
        <v>13</v>
      </c>
      <c r="F946" s="38">
        <v>3891</v>
      </c>
      <c r="G946" t="s">
        <v>14</v>
      </c>
      <c r="H946" t="s">
        <v>15</v>
      </c>
      <c r="I946" s="38">
        <v>1509.2</v>
      </c>
      <c r="J946">
        <v>12</v>
      </c>
      <c r="K946">
        <v>1</v>
      </c>
    </row>
    <row r="947" hidden="1" spans="1:11">
      <c r="A947">
        <v>946</v>
      </c>
      <c r="B947">
        <v>63</v>
      </c>
      <c r="C947" t="s">
        <v>11</v>
      </c>
      <c r="D947" t="s">
        <v>24</v>
      </c>
      <c r="E947" t="s">
        <v>13</v>
      </c>
      <c r="F947" s="38">
        <v>4768</v>
      </c>
      <c r="G947" t="s">
        <v>26</v>
      </c>
      <c r="H947" t="s">
        <v>19</v>
      </c>
      <c r="I947" s="38">
        <v>1132.2</v>
      </c>
      <c r="J947">
        <v>24</v>
      </c>
      <c r="K947">
        <v>0</v>
      </c>
    </row>
    <row r="948" hidden="1" spans="1:11">
      <c r="A948">
        <v>947</v>
      </c>
      <c r="B948">
        <v>53</v>
      </c>
      <c r="C948" t="s">
        <v>16</v>
      </c>
      <c r="D948" t="s">
        <v>12</v>
      </c>
      <c r="E948" t="s">
        <v>23</v>
      </c>
      <c r="F948" s="38">
        <v>4413</v>
      </c>
      <c r="G948" t="s">
        <v>20</v>
      </c>
      <c r="H948" t="s">
        <v>21</v>
      </c>
      <c r="I948" s="38">
        <v>8349.3</v>
      </c>
      <c r="J948">
        <v>24</v>
      </c>
      <c r="K948">
        <v>0</v>
      </c>
    </row>
    <row r="949" hidden="1" spans="1:11">
      <c r="A949">
        <v>948</v>
      </c>
      <c r="B949">
        <v>23</v>
      </c>
      <c r="C949" t="s">
        <v>16</v>
      </c>
      <c r="D949" t="s">
        <v>12</v>
      </c>
      <c r="E949" t="s">
        <v>13</v>
      </c>
      <c r="F949" s="38">
        <v>4130</v>
      </c>
      <c r="G949" t="s">
        <v>14</v>
      </c>
      <c r="H949" t="s">
        <v>15</v>
      </c>
      <c r="I949" s="38">
        <v>4807</v>
      </c>
      <c r="J949">
        <v>42</v>
      </c>
      <c r="K949">
        <v>1</v>
      </c>
    </row>
    <row r="950" hidden="1" spans="1:11">
      <c r="A950">
        <v>949</v>
      </c>
      <c r="B950">
        <v>23</v>
      </c>
      <c r="C950" t="s">
        <v>16</v>
      </c>
      <c r="D950" t="s">
        <v>12</v>
      </c>
      <c r="E950" t="s">
        <v>13</v>
      </c>
      <c r="F950" s="38">
        <v>4047</v>
      </c>
      <c r="G950" t="s">
        <v>20</v>
      </c>
      <c r="H950" t="s">
        <v>19</v>
      </c>
      <c r="I950" s="38">
        <v>1632.4</v>
      </c>
      <c r="J950">
        <v>12</v>
      </c>
      <c r="K950">
        <v>1</v>
      </c>
    </row>
    <row r="951" spans="1:11">
      <c r="A951">
        <v>950</v>
      </c>
      <c r="B951">
        <v>41</v>
      </c>
      <c r="C951" t="s">
        <v>16</v>
      </c>
      <c r="D951" t="s">
        <v>12</v>
      </c>
      <c r="E951" t="s">
        <v>13</v>
      </c>
      <c r="F951" s="38">
        <v>6002</v>
      </c>
      <c r="G951" t="s">
        <v>20</v>
      </c>
      <c r="H951" t="s">
        <v>21</v>
      </c>
      <c r="I951" s="38">
        <v>9199.8</v>
      </c>
      <c r="J951">
        <v>48</v>
      </c>
      <c r="K951">
        <v>0</v>
      </c>
    </row>
    <row r="952" hidden="1" spans="1:11">
      <c r="A952">
        <v>951</v>
      </c>
      <c r="B952">
        <v>37</v>
      </c>
      <c r="C952" t="s">
        <v>16</v>
      </c>
      <c r="D952" t="s">
        <v>12</v>
      </c>
      <c r="E952" t="s">
        <v>13</v>
      </c>
      <c r="F952" s="38">
        <v>4279</v>
      </c>
      <c r="G952" t="s">
        <v>20</v>
      </c>
      <c r="H952" t="s">
        <v>19</v>
      </c>
      <c r="I952" s="38">
        <v>2542.5</v>
      </c>
      <c r="J952">
        <v>24</v>
      </c>
      <c r="K952">
        <v>0</v>
      </c>
    </row>
    <row r="953" hidden="1" spans="1:11">
      <c r="A953">
        <v>952</v>
      </c>
      <c r="B953">
        <v>40</v>
      </c>
      <c r="C953" t="s">
        <v>16</v>
      </c>
      <c r="D953" t="s">
        <v>12</v>
      </c>
      <c r="E953" t="s">
        <v>13</v>
      </c>
      <c r="F953" s="38">
        <v>3141</v>
      </c>
      <c r="G953" t="s">
        <v>14</v>
      </c>
      <c r="H953" t="s">
        <v>15</v>
      </c>
      <c r="I953" s="38">
        <v>1548.9</v>
      </c>
      <c r="J953">
        <v>15</v>
      </c>
      <c r="K953">
        <v>0</v>
      </c>
    </row>
    <row r="954" spans="1:11">
      <c r="A954">
        <v>953</v>
      </c>
      <c r="B954">
        <v>40</v>
      </c>
      <c r="C954" t="s">
        <v>16</v>
      </c>
      <c r="D954" t="s">
        <v>17</v>
      </c>
      <c r="E954" t="s">
        <v>23</v>
      </c>
      <c r="F954" s="38">
        <v>6247</v>
      </c>
      <c r="G954" t="s">
        <v>14</v>
      </c>
      <c r="H954" t="s">
        <v>15</v>
      </c>
      <c r="I954" s="38">
        <v>4771.8</v>
      </c>
      <c r="J954">
        <v>18</v>
      </c>
      <c r="K954">
        <v>0</v>
      </c>
    </row>
    <row r="955" spans="1:11">
      <c r="A955">
        <v>954</v>
      </c>
      <c r="B955">
        <v>40</v>
      </c>
      <c r="C955" t="s">
        <v>16</v>
      </c>
      <c r="D955" t="s">
        <v>12</v>
      </c>
      <c r="E955" t="s">
        <v>13</v>
      </c>
      <c r="F955" s="38">
        <v>6357</v>
      </c>
      <c r="G955" t="s">
        <v>26</v>
      </c>
      <c r="H955" t="s">
        <v>19</v>
      </c>
      <c r="I955" s="38">
        <v>1147.5</v>
      </c>
      <c r="J955">
        <v>24</v>
      </c>
      <c r="K955">
        <v>0</v>
      </c>
    </row>
    <row r="956" spans="1:11">
      <c r="A956">
        <v>955</v>
      </c>
      <c r="B956">
        <v>33</v>
      </c>
      <c r="C956" t="s">
        <v>16</v>
      </c>
      <c r="D956" t="s">
        <v>12</v>
      </c>
      <c r="E956" t="s">
        <v>13</v>
      </c>
      <c r="F956" s="38">
        <v>6037</v>
      </c>
      <c r="G956" t="s">
        <v>14</v>
      </c>
      <c r="H956" t="s">
        <v>15</v>
      </c>
      <c r="I956" s="38">
        <v>1908.9</v>
      </c>
      <c r="J956">
        <v>12</v>
      </c>
      <c r="K956">
        <v>0</v>
      </c>
    </row>
    <row r="957" hidden="1" spans="1:11">
      <c r="A957">
        <v>956</v>
      </c>
      <c r="B957">
        <v>31</v>
      </c>
      <c r="C957" t="s">
        <v>16</v>
      </c>
      <c r="D957" t="s">
        <v>12</v>
      </c>
      <c r="E957" t="s">
        <v>13</v>
      </c>
      <c r="F957" s="38">
        <v>3043</v>
      </c>
      <c r="G957" t="s">
        <v>14</v>
      </c>
      <c r="H957" t="s">
        <v>21</v>
      </c>
      <c r="I957" s="38">
        <v>3235.5</v>
      </c>
      <c r="J957">
        <v>36</v>
      </c>
      <c r="K957">
        <v>0</v>
      </c>
    </row>
    <row r="958" hidden="1" spans="1:11">
      <c r="A958">
        <v>957</v>
      </c>
      <c r="B958">
        <v>31</v>
      </c>
      <c r="C958" t="s">
        <v>16</v>
      </c>
      <c r="D958" t="s">
        <v>17</v>
      </c>
      <c r="E958" t="s">
        <v>23</v>
      </c>
      <c r="F958" s="38">
        <v>1409</v>
      </c>
      <c r="G958" t="s">
        <v>18</v>
      </c>
      <c r="H958" t="s">
        <v>15</v>
      </c>
      <c r="I958" s="38">
        <v>4228.4</v>
      </c>
      <c r="J958">
        <v>48</v>
      </c>
      <c r="K958">
        <v>1</v>
      </c>
    </row>
    <row r="959" hidden="1" spans="1:11">
      <c r="A959">
        <v>958</v>
      </c>
      <c r="B959">
        <v>38</v>
      </c>
      <c r="C959" t="s">
        <v>11</v>
      </c>
      <c r="D959" t="s">
        <v>17</v>
      </c>
      <c r="E959" t="s">
        <v>23</v>
      </c>
      <c r="F959" s="38">
        <v>4278</v>
      </c>
      <c r="G959" t="s">
        <v>14</v>
      </c>
      <c r="H959" t="s">
        <v>25</v>
      </c>
      <c r="I959" s="38">
        <v>9149.8</v>
      </c>
      <c r="J959">
        <v>27</v>
      </c>
      <c r="K959">
        <v>1</v>
      </c>
    </row>
    <row r="960" hidden="1" spans="1:11">
      <c r="A960">
        <v>959</v>
      </c>
      <c r="B960">
        <v>40</v>
      </c>
      <c r="C960" t="s">
        <v>16</v>
      </c>
      <c r="D960" t="s">
        <v>17</v>
      </c>
      <c r="E960" t="s">
        <v>13</v>
      </c>
      <c r="F960" s="38">
        <v>3458</v>
      </c>
      <c r="G960" t="s">
        <v>14</v>
      </c>
      <c r="H960" t="s">
        <v>21</v>
      </c>
      <c r="I960" s="38">
        <v>2947.5</v>
      </c>
      <c r="J960">
        <v>21</v>
      </c>
      <c r="K960">
        <v>0</v>
      </c>
    </row>
    <row r="961" hidden="1" spans="1:11">
      <c r="A961">
        <v>960</v>
      </c>
      <c r="B961">
        <v>29</v>
      </c>
      <c r="C961" t="s">
        <v>16</v>
      </c>
      <c r="D961" t="s">
        <v>12</v>
      </c>
      <c r="E961" t="s">
        <v>13</v>
      </c>
      <c r="F961" s="38">
        <v>2527</v>
      </c>
      <c r="G961" t="s">
        <v>14</v>
      </c>
      <c r="H961" t="s">
        <v>21</v>
      </c>
      <c r="I961" s="38">
        <v>1683</v>
      </c>
      <c r="J961">
        <v>18</v>
      </c>
      <c r="K961">
        <v>1</v>
      </c>
    </row>
    <row r="962" hidden="1" spans="1:11">
      <c r="A962">
        <v>961</v>
      </c>
      <c r="B962">
        <v>37</v>
      </c>
      <c r="C962" t="s">
        <v>16</v>
      </c>
      <c r="D962" t="s">
        <v>12</v>
      </c>
      <c r="E962" t="s">
        <v>13</v>
      </c>
      <c r="F962" s="38">
        <v>1873</v>
      </c>
      <c r="G962" t="s">
        <v>26</v>
      </c>
      <c r="H962" t="s">
        <v>21</v>
      </c>
      <c r="I962" s="38">
        <v>2320.2</v>
      </c>
      <c r="J962">
        <v>24</v>
      </c>
      <c r="K962">
        <v>0</v>
      </c>
    </row>
    <row r="963" hidden="1" spans="1:11">
      <c r="A963">
        <v>962</v>
      </c>
      <c r="B963">
        <v>27</v>
      </c>
      <c r="C963" t="s">
        <v>16</v>
      </c>
      <c r="D963" t="s">
        <v>17</v>
      </c>
      <c r="E963" t="s">
        <v>13</v>
      </c>
      <c r="F963" s="38">
        <v>2155</v>
      </c>
      <c r="G963" t="s">
        <v>14</v>
      </c>
      <c r="H963" t="s">
        <v>15</v>
      </c>
      <c r="I963" s="38">
        <v>702.9</v>
      </c>
      <c r="J963">
        <v>12</v>
      </c>
      <c r="K963">
        <v>1</v>
      </c>
    </row>
    <row r="964" hidden="1" spans="1:11">
      <c r="A964">
        <v>963</v>
      </c>
      <c r="B964">
        <v>57</v>
      </c>
      <c r="C964" t="s">
        <v>16</v>
      </c>
      <c r="D964" t="s">
        <v>24</v>
      </c>
      <c r="E964" t="s">
        <v>22</v>
      </c>
      <c r="F964" s="38">
        <v>1400</v>
      </c>
      <c r="G964" t="s">
        <v>20</v>
      </c>
      <c r="H964" t="s">
        <v>25</v>
      </c>
      <c r="I964" s="38">
        <v>6087.4</v>
      </c>
      <c r="J964">
        <v>21</v>
      </c>
      <c r="K964">
        <v>1</v>
      </c>
    </row>
    <row r="965" hidden="1" spans="1:11">
      <c r="A965">
        <v>964</v>
      </c>
      <c r="B965">
        <v>44</v>
      </c>
      <c r="C965" t="s">
        <v>16</v>
      </c>
      <c r="D965" t="s">
        <v>12</v>
      </c>
      <c r="E965" t="s">
        <v>22</v>
      </c>
      <c r="F965" s="38">
        <v>2484</v>
      </c>
      <c r="G965" t="s">
        <v>20</v>
      </c>
      <c r="H965" t="s">
        <v>21</v>
      </c>
      <c r="I965" s="38">
        <v>1247.4</v>
      </c>
      <c r="J965">
        <v>15</v>
      </c>
      <c r="K965">
        <v>0</v>
      </c>
    </row>
    <row r="966" hidden="1" spans="1:11">
      <c r="A966">
        <v>965</v>
      </c>
      <c r="B966">
        <v>20</v>
      </c>
      <c r="C966" t="s">
        <v>11</v>
      </c>
      <c r="D966" t="s">
        <v>12</v>
      </c>
      <c r="E966" t="s">
        <v>22</v>
      </c>
      <c r="F966" s="38">
        <v>1917</v>
      </c>
      <c r="G966" t="s">
        <v>18</v>
      </c>
      <c r="H966" t="s">
        <v>15</v>
      </c>
      <c r="I966" s="38">
        <v>476.3</v>
      </c>
      <c r="J966">
        <v>18</v>
      </c>
      <c r="K966">
        <v>1</v>
      </c>
    </row>
    <row r="967" hidden="1" spans="1:11">
      <c r="A967">
        <v>966</v>
      </c>
      <c r="B967">
        <v>30</v>
      </c>
      <c r="C967" t="s">
        <v>16</v>
      </c>
      <c r="D967" t="s">
        <v>12</v>
      </c>
      <c r="E967" t="s">
        <v>13</v>
      </c>
      <c r="F967" s="38">
        <v>2696</v>
      </c>
      <c r="G967" t="s">
        <v>26</v>
      </c>
      <c r="H967" t="s">
        <v>21</v>
      </c>
      <c r="I967" s="38">
        <v>5223.6</v>
      </c>
      <c r="J967">
        <v>24</v>
      </c>
      <c r="K967">
        <v>0</v>
      </c>
    </row>
    <row r="968" hidden="1" spans="1:11">
      <c r="A968">
        <v>967</v>
      </c>
      <c r="B968">
        <v>30</v>
      </c>
      <c r="C968" t="s">
        <v>16</v>
      </c>
      <c r="D968" t="s">
        <v>24</v>
      </c>
      <c r="E968" t="s">
        <v>13</v>
      </c>
      <c r="F968" s="38">
        <v>4214</v>
      </c>
      <c r="G968" t="s">
        <v>14</v>
      </c>
      <c r="H968" t="s">
        <v>15</v>
      </c>
      <c r="I968" s="38">
        <v>1051.2</v>
      </c>
      <c r="J968">
        <v>12</v>
      </c>
      <c r="K968">
        <v>0</v>
      </c>
    </row>
    <row r="969" hidden="1" spans="1:11">
      <c r="A969">
        <v>968</v>
      </c>
      <c r="B969">
        <v>35</v>
      </c>
      <c r="C969" t="s">
        <v>16</v>
      </c>
      <c r="D969" t="s">
        <v>12</v>
      </c>
      <c r="E969" t="s">
        <v>13</v>
      </c>
      <c r="F969" s="38">
        <v>4695</v>
      </c>
      <c r="G969" t="s">
        <v>14</v>
      </c>
      <c r="H969" t="s">
        <v>21</v>
      </c>
      <c r="I969" s="38">
        <v>630.9</v>
      </c>
      <c r="J969">
        <v>12</v>
      </c>
      <c r="K969">
        <v>0</v>
      </c>
    </row>
    <row r="970" hidden="1" spans="1:11">
      <c r="A970">
        <v>969</v>
      </c>
      <c r="B970">
        <v>34</v>
      </c>
      <c r="C970" t="s">
        <v>16</v>
      </c>
      <c r="D970" t="s">
        <v>12</v>
      </c>
      <c r="E970" t="s">
        <v>13</v>
      </c>
      <c r="F970" s="38">
        <v>4191</v>
      </c>
      <c r="G970" t="s">
        <v>14</v>
      </c>
      <c r="H970" t="s">
        <v>21</v>
      </c>
      <c r="I970" s="38">
        <v>1253.7</v>
      </c>
      <c r="J970">
        <v>24</v>
      </c>
      <c r="K970">
        <v>0</v>
      </c>
    </row>
    <row r="971" hidden="1" spans="1:11">
      <c r="A971">
        <v>970</v>
      </c>
      <c r="B971">
        <v>39</v>
      </c>
      <c r="C971" t="s">
        <v>16</v>
      </c>
      <c r="D971" t="s">
        <v>12</v>
      </c>
      <c r="E971" t="s">
        <v>13</v>
      </c>
      <c r="F971" s="38">
        <v>3239</v>
      </c>
      <c r="G971" t="s">
        <v>20</v>
      </c>
      <c r="H971" t="s">
        <v>19</v>
      </c>
      <c r="I971" s="38">
        <v>2455.2</v>
      </c>
      <c r="J971">
        <v>15</v>
      </c>
      <c r="K971">
        <v>0</v>
      </c>
    </row>
    <row r="972" hidden="1" spans="1:11">
      <c r="A972">
        <v>971</v>
      </c>
      <c r="B972">
        <v>70</v>
      </c>
      <c r="C972" t="s">
        <v>11</v>
      </c>
      <c r="D972" t="s">
        <v>12</v>
      </c>
      <c r="E972" t="s">
        <v>13</v>
      </c>
      <c r="F972" s="38">
        <v>2580</v>
      </c>
      <c r="G972" t="s">
        <v>14</v>
      </c>
      <c r="H972" t="s">
        <v>25</v>
      </c>
      <c r="I972" s="38">
        <v>677.7</v>
      </c>
      <c r="J972">
        <v>6</v>
      </c>
      <c r="K972">
        <v>0</v>
      </c>
    </row>
    <row r="973" hidden="1" spans="1:11">
      <c r="A973">
        <v>972</v>
      </c>
      <c r="B973">
        <v>35</v>
      </c>
      <c r="C973" t="s">
        <v>16</v>
      </c>
      <c r="D973" t="s">
        <v>17</v>
      </c>
      <c r="E973" t="s">
        <v>13</v>
      </c>
      <c r="F973" s="38">
        <v>1786</v>
      </c>
      <c r="G973" t="s">
        <v>14</v>
      </c>
      <c r="H973" t="s">
        <v>15</v>
      </c>
      <c r="I973" s="38">
        <v>13131.8</v>
      </c>
      <c r="J973">
        <v>24</v>
      </c>
      <c r="K973">
        <v>1</v>
      </c>
    </row>
    <row r="974" hidden="1" spans="1:11">
      <c r="A974">
        <v>973</v>
      </c>
      <c r="B974">
        <v>35</v>
      </c>
      <c r="C974" t="s">
        <v>16</v>
      </c>
      <c r="D974" t="s">
        <v>17</v>
      </c>
      <c r="E974" t="s">
        <v>13</v>
      </c>
      <c r="F974" s="38">
        <v>2310</v>
      </c>
      <c r="G974" t="s">
        <v>14</v>
      </c>
      <c r="H974" t="s">
        <v>15</v>
      </c>
      <c r="I974" s="38">
        <v>7126.2</v>
      </c>
      <c r="J974">
        <v>36</v>
      </c>
      <c r="K974">
        <v>0</v>
      </c>
    </row>
    <row r="975" hidden="1" spans="1:11">
      <c r="A975">
        <v>974</v>
      </c>
      <c r="B975">
        <v>58</v>
      </c>
      <c r="C975" t="s">
        <v>16</v>
      </c>
      <c r="D975" t="s">
        <v>12</v>
      </c>
      <c r="E975" t="s">
        <v>13</v>
      </c>
      <c r="F975" s="38">
        <v>2212</v>
      </c>
      <c r="G975" t="s">
        <v>14</v>
      </c>
      <c r="H975" t="s">
        <v>15</v>
      </c>
      <c r="I975" s="38">
        <v>15039.2</v>
      </c>
      <c r="J975">
        <v>60</v>
      </c>
      <c r="K975">
        <v>1</v>
      </c>
    </row>
    <row r="976" hidden="1" spans="1:11">
      <c r="A976">
        <v>975</v>
      </c>
      <c r="B976">
        <v>57</v>
      </c>
      <c r="C976" t="s">
        <v>16</v>
      </c>
      <c r="D976" t="s">
        <v>12</v>
      </c>
      <c r="E976" t="s">
        <v>13</v>
      </c>
      <c r="F976" s="38">
        <v>3033</v>
      </c>
      <c r="G976" t="s">
        <v>26</v>
      </c>
      <c r="H976" t="s">
        <v>21</v>
      </c>
      <c r="I976" s="38">
        <v>842.4</v>
      </c>
      <c r="J976">
        <v>9</v>
      </c>
      <c r="K976">
        <v>0</v>
      </c>
    </row>
    <row r="977" hidden="1" spans="1:11">
      <c r="A977">
        <v>976</v>
      </c>
      <c r="B977">
        <v>49</v>
      </c>
      <c r="C977" t="s">
        <v>16</v>
      </c>
      <c r="D977" t="s">
        <v>17</v>
      </c>
      <c r="E977" t="s">
        <v>13</v>
      </c>
      <c r="F977" s="38">
        <v>1884</v>
      </c>
      <c r="G977" t="s">
        <v>14</v>
      </c>
      <c r="H977" t="s">
        <v>21</v>
      </c>
      <c r="I977" s="38">
        <v>5050.1</v>
      </c>
      <c r="J977">
        <v>24</v>
      </c>
      <c r="K977">
        <v>1</v>
      </c>
    </row>
    <row r="978" hidden="1" spans="1:11">
      <c r="A978">
        <v>977</v>
      </c>
      <c r="B978">
        <v>29</v>
      </c>
      <c r="C978" t="s">
        <v>11</v>
      </c>
      <c r="D978" t="s">
        <v>17</v>
      </c>
      <c r="E978" t="s">
        <v>13</v>
      </c>
      <c r="F978" s="38">
        <v>1690</v>
      </c>
      <c r="G978" t="s">
        <v>18</v>
      </c>
      <c r="H978" t="s">
        <v>15</v>
      </c>
      <c r="I978" s="38">
        <v>1410.2</v>
      </c>
      <c r="J978">
        <v>24</v>
      </c>
      <c r="K978">
        <v>1</v>
      </c>
    </row>
    <row r="979" hidden="1" spans="1:11">
      <c r="A979">
        <v>978</v>
      </c>
      <c r="B979">
        <v>28</v>
      </c>
      <c r="C979" t="s">
        <v>16</v>
      </c>
      <c r="D979" t="s">
        <v>12</v>
      </c>
      <c r="E979" t="s">
        <v>13</v>
      </c>
      <c r="F979" s="38">
        <v>4256</v>
      </c>
      <c r="G979" t="s">
        <v>18</v>
      </c>
      <c r="H979" t="s">
        <v>15</v>
      </c>
      <c r="I979" s="38">
        <v>15151.4</v>
      </c>
      <c r="J979">
        <v>36</v>
      </c>
      <c r="K979">
        <v>1</v>
      </c>
    </row>
    <row r="980" spans="1:11">
      <c r="A980">
        <v>979</v>
      </c>
      <c r="B980">
        <v>54</v>
      </c>
      <c r="C980" t="s">
        <v>16</v>
      </c>
      <c r="D980" t="s">
        <v>24</v>
      </c>
      <c r="E980" t="s">
        <v>13</v>
      </c>
      <c r="F980" s="38">
        <v>6462</v>
      </c>
      <c r="G980" t="s">
        <v>14</v>
      </c>
      <c r="H980" t="s">
        <v>21</v>
      </c>
      <c r="I980" s="38">
        <v>1886.4</v>
      </c>
      <c r="J980">
        <v>12</v>
      </c>
      <c r="K980">
        <v>0</v>
      </c>
    </row>
    <row r="981" hidden="1" spans="1:11">
      <c r="A981">
        <v>980</v>
      </c>
      <c r="B981">
        <v>33</v>
      </c>
      <c r="C981" t="s">
        <v>16</v>
      </c>
      <c r="D981" t="s">
        <v>17</v>
      </c>
      <c r="E981" t="s">
        <v>13</v>
      </c>
      <c r="F981" s="38">
        <v>5181</v>
      </c>
      <c r="G981" t="s">
        <v>20</v>
      </c>
      <c r="H981" t="s">
        <v>21</v>
      </c>
      <c r="I981" s="38">
        <v>9948.6</v>
      </c>
      <c r="J981">
        <v>36</v>
      </c>
      <c r="K981">
        <v>0</v>
      </c>
    </row>
    <row r="982" hidden="1" spans="1:11">
      <c r="A982">
        <v>981</v>
      </c>
      <c r="B982">
        <v>39</v>
      </c>
      <c r="C982" t="s">
        <v>11</v>
      </c>
      <c r="D982" t="s">
        <v>17</v>
      </c>
      <c r="E982" t="s">
        <v>13</v>
      </c>
      <c r="F982" s="38">
        <v>4932</v>
      </c>
      <c r="G982" t="s">
        <v>14</v>
      </c>
      <c r="H982" t="s">
        <v>21</v>
      </c>
      <c r="I982" s="38">
        <v>1253.7</v>
      </c>
      <c r="J982">
        <v>11</v>
      </c>
      <c r="K982">
        <v>0</v>
      </c>
    </row>
    <row r="983" hidden="1" spans="1:11">
      <c r="A983">
        <v>982</v>
      </c>
      <c r="B983">
        <v>66</v>
      </c>
      <c r="C983" t="s">
        <v>16</v>
      </c>
      <c r="D983" t="s">
        <v>12</v>
      </c>
      <c r="E983" t="s">
        <v>23</v>
      </c>
      <c r="F983" s="38">
        <v>4978</v>
      </c>
      <c r="G983" t="s">
        <v>14</v>
      </c>
      <c r="H983" t="s">
        <v>21</v>
      </c>
      <c r="I983" s="38">
        <v>1828.8</v>
      </c>
      <c r="J983">
        <v>24</v>
      </c>
      <c r="K983">
        <v>0</v>
      </c>
    </row>
    <row r="984" spans="1:11">
      <c r="A984">
        <v>983</v>
      </c>
      <c r="B984">
        <v>31</v>
      </c>
      <c r="C984" t="s">
        <v>16</v>
      </c>
      <c r="D984" t="s">
        <v>12</v>
      </c>
      <c r="E984" t="s">
        <v>13</v>
      </c>
      <c r="F984" s="38">
        <v>6449</v>
      </c>
      <c r="G984" t="s">
        <v>14</v>
      </c>
      <c r="H984" t="s">
        <v>21</v>
      </c>
      <c r="I984" s="38">
        <v>1124.1</v>
      </c>
      <c r="J984">
        <v>24</v>
      </c>
      <c r="K984">
        <v>0</v>
      </c>
    </row>
    <row r="985" hidden="1" spans="1:11">
      <c r="A985">
        <v>984</v>
      </c>
      <c r="B985">
        <v>35</v>
      </c>
      <c r="C985" t="s">
        <v>16</v>
      </c>
      <c r="D985" t="s">
        <v>17</v>
      </c>
      <c r="E985" t="s">
        <v>22</v>
      </c>
      <c r="F985" s="38">
        <v>3794</v>
      </c>
      <c r="G985" t="s">
        <v>18</v>
      </c>
      <c r="H985" t="s">
        <v>21</v>
      </c>
      <c r="I985" s="38">
        <v>7103.8</v>
      </c>
      <c r="J985">
        <v>18</v>
      </c>
      <c r="K985">
        <v>1</v>
      </c>
    </row>
    <row r="986" hidden="1" spans="1:11">
      <c r="A986">
        <v>985</v>
      </c>
      <c r="B986">
        <v>37</v>
      </c>
      <c r="C986" t="s">
        <v>11</v>
      </c>
      <c r="D986" t="s">
        <v>12</v>
      </c>
      <c r="E986" t="s">
        <v>13</v>
      </c>
      <c r="F986" s="38">
        <v>2790</v>
      </c>
      <c r="G986" t="s">
        <v>14</v>
      </c>
      <c r="H986" t="s">
        <v>21</v>
      </c>
      <c r="I986" s="38">
        <v>1343.7</v>
      </c>
      <c r="J986">
        <v>12</v>
      </c>
      <c r="K986">
        <v>0</v>
      </c>
    </row>
    <row r="987" hidden="1" spans="1:11">
      <c r="A987">
        <v>986</v>
      </c>
      <c r="B987">
        <v>51</v>
      </c>
      <c r="C987" t="s">
        <v>16</v>
      </c>
      <c r="D987" t="s">
        <v>12</v>
      </c>
      <c r="E987" t="s">
        <v>23</v>
      </c>
      <c r="F987" s="38">
        <v>5503</v>
      </c>
      <c r="G987" t="s">
        <v>26</v>
      </c>
      <c r="H987" t="s">
        <v>21</v>
      </c>
      <c r="I987" s="38">
        <v>654.3</v>
      </c>
      <c r="J987">
        <v>10</v>
      </c>
      <c r="K987">
        <v>0</v>
      </c>
    </row>
    <row r="988" hidden="1" spans="1:11">
      <c r="A988">
        <v>987</v>
      </c>
      <c r="B988">
        <v>30</v>
      </c>
      <c r="C988" t="s">
        <v>11</v>
      </c>
      <c r="D988" t="s">
        <v>12</v>
      </c>
      <c r="E988" t="s">
        <v>13</v>
      </c>
      <c r="F988" s="38">
        <v>4245</v>
      </c>
      <c r="G988" t="s">
        <v>14</v>
      </c>
      <c r="H988" t="s">
        <v>21</v>
      </c>
      <c r="I988" s="38">
        <v>1304.1</v>
      </c>
      <c r="J988">
        <v>9</v>
      </c>
      <c r="K988">
        <v>0</v>
      </c>
    </row>
    <row r="989" hidden="1" spans="1:11">
      <c r="A989">
        <v>988</v>
      </c>
      <c r="B989">
        <v>32</v>
      </c>
      <c r="C989" t="s">
        <v>11</v>
      </c>
      <c r="D989" t="s">
        <v>17</v>
      </c>
      <c r="E989" t="s">
        <v>13</v>
      </c>
      <c r="F989" s="38">
        <v>1698</v>
      </c>
      <c r="G989" t="s">
        <v>14</v>
      </c>
      <c r="H989" t="s">
        <v>21</v>
      </c>
      <c r="I989" s="38">
        <v>4540.8</v>
      </c>
      <c r="J989">
        <v>24</v>
      </c>
      <c r="K989">
        <v>1</v>
      </c>
    </row>
    <row r="990" hidden="1" spans="1:11">
      <c r="A990">
        <v>989</v>
      </c>
      <c r="B990">
        <v>34</v>
      </c>
      <c r="C990" t="s">
        <v>16</v>
      </c>
      <c r="D990" t="s">
        <v>12</v>
      </c>
      <c r="E990" t="s">
        <v>13</v>
      </c>
      <c r="F990" s="38">
        <v>2469</v>
      </c>
      <c r="G990" t="s">
        <v>14</v>
      </c>
      <c r="H990" t="s">
        <v>15</v>
      </c>
      <c r="I990" s="38">
        <v>2793.6</v>
      </c>
      <c r="J990">
        <v>18</v>
      </c>
      <c r="K990">
        <v>0</v>
      </c>
    </row>
    <row r="991" spans="1:11">
      <c r="A991">
        <v>990</v>
      </c>
      <c r="B991">
        <v>39</v>
      </c>
      <c r="C991" t="s">
        <v>16</v>
      </c>
      <c r="D991" t="s">
        <v>12</v>
      </c>
      <c r="E991" t="s">
        <v>13</v>
      </c>
      <c r="F991" s="38">
        <v>6151</v>
      </c>
      <c r="G991" t="s">
        <v>20</v>
      </c>
      <c r="H991" t="s">
        <v>21</v>
      </c>
      <c r="I991" s="38">
        <v>1781.1</v>
      </c>
      <c r="J991">
        <v>15</v>
      </c>
      <c r="K991">
        <v>0</v>
      </c>
    </row>
    <row r="992" hidden="1" spans="1:11">
      <c r="A992">
        <v>991</v>
      </c>
      <c r="B992">
        <v>29</v>
      </c>
      <c r="C992" t="s">
        <v>11</v>
      </c>
      <c r="D992" t="s">
        <v>24</v>
      </c>
      <c r="E992" t="s">
        <v>13</v>
      </c>
      <c r="F992" s="38">
        <v>1446</v>
      </c>
      <c r="G992" t="s">
        <v>18</v>
      </c>
      <c r="H992" t="s">
        <v>25</v>
      </c>
      <c r="I992" s="38">
        <v>1024.1</v>
      </c>
      <c r="J992">
        <v>6</v>
      </c>
      <c r="K992">
        <v>1</v>
      </c>
    </row>
    <row r="993" hidden="1" spans="1:11">
      <c r="A993">
        <v>992</v>
      </c>
      <c r="B993">
        <v>42</v>
      </c>
      <c r="C993" t="s">
        <v>11</v>
      </c>
      <c r="D993" t="s">
        <v>17</v>
      </c>
      <c r="E993" t="s">
        <v>13</v>
      </c>
      <c r="F993" s="38">
        <v>4099</v>
      </c>
      <c r="G993" t="s">
        <v>14</v>
      </c>
      <c r="H993" t="s">
        <v>21</v>
      </c>
      <c r="I993" s="38">
        <v>833.4</v>
      </c>
      <c r="J993">
        <v>12</v>
      </c>
      <c r="K993">
        <v>0</v>
      </c>
    </row>
    <row r="994" hidden="1" spans="1:11">
      <c r="A994">
        <v>993</v>
      </c>
      <c r="B994">
        <v>23</v>
      </c>
      <c r="C994" t="s">
        <v>16</v>
      </c>
      <c r="D994" t="s">
        <v>17</v>
      </c>
      <c r="E994" t="s">
        <v>13</v>
      </c>
      <c r="F994" s="38">
        <v>2425</v>
      </c>
      <c r="G994" t="s">
        <v>14</v>
      </c>
      <c r="H994" t="s">
        <v>25</v>
      </c>
      <c r="I994" s="38">
        <v>753.5</v>
      </c>
      <c r="J994">
        <v>12</v>
      </c>
      <c r="K994">
        <v>1</v>
      </c>
    </row>
    <row r="995" spans="1:11">
      <c r="A995">
        <v>994</v>
      </c>
      <c r="B995">
        <v>29</v>
      </c>
      <c r="C995" t="s">
        <v>16</v>
      </c>
      <c r="D995" t="s">
        <v>12</v>
      </c>
      <c r="E995" t="s">
        <v>22</v>
      </c>
      <c r="F995" s="38">
        <v>6665</v>
      </c>
      <c r="G995" t="s">
        <v>14</v>
      </c>
      <c r="H995" t="s">
        <v>19</v>
      </c>
      <c r="I995" s="38">
        <v>2418.3</v>
      </c>
      <c r="J995">
        <v>15</v>
      </c>
      <c r="K995">
        <v>0</v>
      </c>
    </row>
    <row r="996" spans="1:11">
      <c r="A996">
        <v>995</v>
      </c>
      <c r="B996">
        <v>23</v>
      </c>
      <c r="C996" t="s">
        <v>16</v>
      </c>
      <c r="D996" t="s">
        <v>12</v>
      </c>
      <c r="E996" t="s">
        <v>13</v>
      </c>
      <c r="F996" s="38">
        <v>6297</v>
      </c>
      <c r="G996" t="s">
        <v>14</v>
      </c>
      <c r="H996" t="s">
        <v>21</v>
      </c>
      <c r="I996" s="38">
        <v>14087.7</v>
      </c>
      <c r="J996">
        <v>60</v>
      </c>
      <c r="K996">
        <v>0</v>
      </c>
    </row>
    <row r="997" hidden="1" spans="1:11">
      <c r="A997">
        <v>996</v>
      </c>
      <c r="B997">
        <v>31</v>
      </c>
      <c r="C997" t="s">
        <v>11</v>
      </c>
      <c r="D997" t="s">
        <v>12</v>
      </c>
      <c r="E997" t="s">
        <v>13</v>
      </c>
      <c r="F997" s="38">
        <v>3305</v>
      </c>
      <c r="G997" t="s">
        <v>14</v>
      </c>
      <c r="H997" t="s">
        <v>25</v>
      </c>
      <c r="I997" s="38">
        <v>3798.9</v>
      </c>
      <c r="J997">
        <v>30</v>
      </c>
      <c r="K997">
        <v>0</v>
      </c>
    </row>
    <row r="998" hidden="1" spans="1:11">
      <c r="A998">
        <v>997</v>
      </c>
      <c r="B998">
        <v>45</v>
      </c>
      <c r="C998" t="s">
        <v>16</v>
      </c>
      <c r="D998" t="s">
        <v>24</v>
      </c>
      <c r="E998" t="s">
        <v>22</v>
      </c>
      <c r="F998" s="38">
        <v>2348</v>
      </c>
      <c r="G998" t="s">
        <v>18</v>
      </c>
      <c r="H998" t="s">
        <v>21</v>
      </c>
      <c r="I998" s="38">
        <v>1322.1</v>
      </c>
      <c r="J998">
        <v>24</v>
      </c>
      <c r="K998">
        <v>0</v>
      </c>
    </row>
    <row r="999" hidden="1" spans="1:11">
      <c r="A999">
        <v>998</v>
      </c>
      <c r="B999">
        <v>30</v>
      </c>
      <c r="C999" t="s">
        <v>16</v>
      </c>
      <c r="D999" t="s">
        <v>12</v>
      </c>
      <c r="E999" t="s">
        <v>13</v>
      </c>
      <c r="F999" s="38">
        <v>3754</v>
      </c>
      <c r="G999" t="s">
        <v>14</v>
      </c>
      <c r="H999" t="s">
        <v>15</v>
      </c>
      <c r="I999" s="38">
        <v>1491.3</v>
      </c>
      <c r="J999">
        <v>12</v>
      </c>
      <c r="K999">
        <v>0</v>
      </c>
    </row>
    <row r="1000" hidden="1" spans="1:11">
      <c r="A1000">
        <v>999</v>
      </c>
      <c r="B1000">
        <v>27</v>
      </c>
      <c r="C1000" t="s">
        <v>11</v>
      </c>
      <c r="D1000" t="s">
        <v>12</v>
      </c>
      <c r="E1000" t="s">
        <v>13</v>
      </c>
      <c r="F1000" s="38">
        <v>2706</v>
      </c>
      <c r="G1000" t="s">
        <v>20</v>
      </c>
      <c r="H1000" t="s">
        <v>21</v>
      </c>
      <c r="I1000" s="38">
        <v>2050.4</v>
      </c>
      <c r="J1000">
        <v>18</v>
      </c>
      <c r="K1000">
        <v>1</v>
      </c>
    </row>
    <row r="1001" hidden="1" spans="1:11">
      <c r="A1001">
        <v>1000</v>
      </c>
      <c r="B1001">
        <v>38</v>
      </c>
      <c r="C1001" t="s">
        <v>16</v>
      </c>
      <c r="D1001" t="s">
        <v>12</v>
      </c>
      <c r="E1001" t="s">
        <v>13</v>
      </c>
      <c r="F1001" s="38">
        <v>3869</v>
      </c>
      <c r="G1001" t="s">
        <v>14</v>
      </c>
      <c r="H1001" t="s">
        <v>15</v>
      </c>
      <c r="I1001" s="38">
        <v>4568.3</v>
      </c>
      <c r="J1001">
        <v>18</v>
      </c>
      <c r="K1001">
        <v>1</v>
      </c>
    </row>
    <row r="1002" spans="1:11">
      <c r="A1002">
        <v>1001</v>
      </c>
      <c r="B1002">
        <v>22</v>
      </c>
      <c r="C1002" t="s">
        <v>16</v>
      </c>
      <c r="D1002" t="s">
        <v>12</v>
      </c>
      <c r="E1002" t="s">
        <v>22</v>
      </c>
      <c r="F1002" s="38">
        <v>6660</v>
      </c>
      <c r="G1002" t="s">
        <v>20</v>
      </c>
      <c r="H1002" t="s">
        <v>19</v>
      </c>
      <c r="I1002" s="38">
        <v>3255.3</v>
      </c>
      <c r="J1002">
        <v>24</v>
      </c>
      <c r="K1002">
        <v>0</v>
      </c>
    </row>
    <row r="1003" hidden="1" spans="1:11">
      <c r="A1003">
        <v>1002</v>
      </c>
      <c r="B1003">
        <v>69</v>
      </c>
      <c r="C1003" t="s">
        <v>16</v>
      </c>
      <c r="D1003" t="s">
        <v>24</v>
      </c>
      <c r="E1003" t="s">
        <v>13</v>
      </c>
      <c r="F1003" s="38">
        <v>5452</v>
      </c>
      <c r="G1003" t="s">
        <v>14</v>
      </c>
      <c r="H1003" t="s">
        <v>21</v>
      </c>
      <c r="I1003" s="38">
        <v>1489.5</v>
      </c>
      <c r="J1003">
        <v>12</v>
      </c>
      <c r="K1003">
        <v>0</v>
      </c>
    </row>
    <row r="1004" hidden="1" spans="1:11">
      <c r="A1004">
        <v>1003</v>
      </c>
      <c r="B1004">
        <v>26</v>
      </c>
      <c r="C1004" t="s">
        <v>11</v>
      </c>
      <c r="D1004" t="s">
        <v>12</v>
      </c>
      <c r="E1004" t="s">
        <v>13</v>
      </c>
      <c r="F1004" s="38">
        <v>2592</v>
      </c>
      <c r="G1004" t="s">
        <v>14</v>
      </c>
      <c r="H1004" t="s">
        <v>15</v>
      </c>
      <c r="I1004" s="38">
        <v>2696.4</v>
      </c>
      <c r="J1004">
        <v>12</v>
      </c>
      <c r="K1004">
        <v>0</v>
      </c>
    </row>
    <row r="1005" hidden="1" spans="1:11">
      <c r="A1005">
        <v>1004</v>
      </c>
      <c r="B1005">
        <v>53</v>
      </c>
      <c r="C1005" t="s">
        <v>11</v>
      </c>
      <c r="D1005" t="s">
        <v>24</v>
      </c>
      <c r="E1005" t="s">
        <v>22</v>
      </c>
      <c r="F1005" s="38">
        <v>5821</v>
      </c>
      <c r="G1005" t="s">
        <v>14</v>
      </c>
      <c r="H1005" t="s">
        <v>25</v>
      </c>
      <c r="I1005" s="38">
        <v>1615.5</v>
      </c>
      <c r="J1005">
        <v>18</v>
      </c>
      <c r="K1005">
        <v>0</v>
      </c>
    </row>
    <row r="1006" hidden="1" spans="1:11">
      <c r="A1006">
        <v>1005</v>
      </c>
      <c r="B1006">
        <v>27</v>
      </c>
      <c r="C1006" t="s">
        <v>16</v>
      </c>
      <c r="D1006" t="s">
        <v>17</v>
      </c>
      <c r="E1006" t="s">
        <v>23</v>
      </c>
      <c r="F1006" s="38">
        <v>1536</v>
      </c>
      <c r="G1006" t="s">
        <v>20</v>
      </c>
      <c r="H1006" t="s">
        <v>21</v>
      </c>
      <c r="I1006" s="38">
        <v>13948</v>
      </c>
      <c r="J1006">
        <v>21</v>
      </c>
      <c r="K1006">
        <v>1</v>
      </c>
    </row>
    <row r="1007" hidden="1" spans="1:11">
      <c r="A1007">
        <v>1006</v>
      </c>
      <c r="B1007">
        <v>69</v>
      </c>
      <c r="C1007" t="s">
        <v>16</v>
      </c>
      <c r="D1007" t="s">
        <v>12</v>
      </c>
      <c r="E1007" t="s">
        <v>13</v>
      </c>
      <c r="F1007" s="38">
        <v>3862</v>
      </c>
      <c r="G1007" t="s">
        <v>20</v>
      </c>
      <c r="H1007" t="s">
        <v>21</v>
      </c>
      <c r="I1007" s="38">
        <v>6836.4</v>
      </c>
      <c r="J1007">
        <v>30</v>
      </c>
      <c r="K1007">
        <v>0</v>
      </c>
    </row>
    <row r="1008" hidden="1" spans="1:11">
      <c r="A1008">
        <v>1007</v>
      </c>
      <c r="B1008">
        <v>27</v>
      </c>
      <c r="C1008" t="s">
        <v>16</v>
      </c>
      <c r="D1008" t="s">
        <v>17</v>
      </c>
      <c r="E1008" t="s">
        <v>13</v>
      </c>
      <c r="F1008" s="38">
        <v>3851</v>
      </c>
      <c r="G1008" t="s">
        <v>20</v>
      </c>
      <c r="H1008" t="s">
        <v>15</v>
      </c>
      <c r="I1008" s="38">
        <v>2005.3</v>
      </c>
      <c r="J1008">
        <v>24</v>
      </c>
      <c r="K1008">
        <v>1</v>
      </c>
    </row>
    <row r="1009" hidden="1" spans="1:11">
      <c r="A1009">
        <v>1008</v>
      </c>
      <c r="B1009">
        <v>51</v>
      </c>
      <c r="C1009" t="s">
        <v>11</v>
      </c>
      <c r="D1009" t="s">
        <v>24</v>
      </c>
      <c r="E1009" t="s">
        <v>13</v>
      </c>
      <c r="F1009" s="38">
        <v>5840</v>
      </c>
      <c r="G1009" t="s">
        <v>14</v>
      </c>
      <c r="H1009" t="s">
        <v>19</v>
      </c>
      <c r="I1009" s="38">
        <v>2025.9</v>
      </c>
      <c r="J1009">
        <v>12</v>
      </c>
      <c r="K1009">
        <v>0</v>
      </c>
    </row>
    <row r="1010" hidden="1" spans="1:11">
      <c r="A1010">
        <v>1009</v>
      </c>
      <c r="B1010">
        <v>31</v>
      </c>
      <c r="C1010" t="s">
        <v>11</v>
      </c>
      <c r="D1010" t="s">
        <v>17</v>
      </c>
      <c r="E1010" t="s">
        <v>13</v>
      </c>
      <c r="F1010" s="38">
        <v>2434</v>
      </c>
      <c r="G1010" t="s">
        <v>14</v>
      </c>
      <c r="H1010" t="s">
        <v>15</v>
      </c>
      <c r="I1010" s="38">
        <v>2026.2</v>
      </c>
      <c r="J1010">
        <v>36</v>
      </c>
      <c r="K1010">
        <v>1</v>
      </c>
    </row>
    <row r="1011" hidden="1" spans="1:11">
      <c r="A1011">
        <v>1010</v>
      </c>
      <c r="B1011">
        <v>43</v>
      </c>
      <c r="C1011" t="s">
        <v>11</v>
      </c>
      <c r="D1011" t="s">
        <v>24</v>
      </c>
      <c r="E1011" t="s">
        <v>13</v>
      </c>
      <c r="F1011" s="38">
        <v>5401</v>
      </c>
      <c r="G1011" t="s">
        <v>26</v>
      </c>
      <c r="H1011" t="s">
        <v>15</v>
      </c>
      <c r="I1011" s="38">
        <v>599.4</v>
      </c>
      <c r="J1011">
        <v>6</v>
      </c>
      <c r="K1011">
        <v>0</v>
      </c>
    </row>
    <row r="1012" hidden="1" spans="1:11">
      <c r="A1012">
        <v>1011</v>
      </c>
      <c r="B1012">
        <v>65</v>
      </c>
      <c r="C1012" t="s">
        <v>16</v>
      </c>
      <c r="D1012" t="s">
        <v>12</v>
      </c>
      <c r="E1012" t="s">
        <v>13</v>
      </c>
      <c r="F1012" s="38">
        <v>2644</v>
      </c>
      <c r="G1012" t="s">
        <v>14</v>
      </c>
      <c r="H1012" t="s">
        <v>15</v>
      </c>
      <c r="I1012" s="38">
        <v>1227.6</v>
      </c>
      <c r="J1012">
        <v>9</v>
      </c>
      <c r="K1012">
        <v>0</v>
      </c>
    </row>
    <row r="1013" spans="1:11">
      <c r="A1013">
        <v>1012</v>
      </c>
      <c r="B1013">
        <v>53</v>
      </c>
      <c r="C1013" t="s">
        <v>16</v>
      </c>
      <c r="D1013" t="s">
        <v>12</v>
      </c>
      <c r="E1013" t="s">
        <v>13</v>
      </c>
      <c r="F1013" s="38">
        <v>6722</v>
      </c>
      <c r="G1013" t="s">
        <v>14</v>
      </c>
      <c r="H1013" t="s">
        <v>21</v>
      </c>
      <c r="I1013" s="38">
        <v>1920.6</v>
      </c>
      <c r="J1013">
        <v>9</v>
      </c>
      <c r="K1013">
        <v>0</v>
      </c>
    </row>
    <row r="1014" hidden="1" spans="1:11">
      <c r="A1014">
        <v>1013</v>
      </c>
      <c r="B1014">
        <v>23</v>
      </c>
      <c r="C1014" t="s">
        <v>16</v>
      </c>
      <c r="D1014" t="s">
        <v>12</v>
      </c>
      <c r="E1014" t="s">
        <v>22</v>
      </c>
      <c r="F1014" s="38">
        <v>3462</v>
      </c>
      <c r="G1014" t="s">
        <v>14</v>
      </c>
      <c r="H1014" t="s">
        <v>25</v>
      </c>
      <c r="I1014" s="38">
        <v>2501.1</v>
      </c>
      <c r="J1014">
        <v>18</v>
      </c>
      <c r="K1014">
        <v>0</v>
      </c>
    </row>
    <row r="1015" hidden="1" spans="1:11">
      <c r="A1015">
        <v>1014</v>
      </c>
      <c r="B1015">
        <v>27</v>
      </c>
      <c r="C1015" t="s">
        <v>16</v>
      </c>
      <c r="D1015" t="s">
        <v>12</v>
      </c>
      <c r="E1015" t="s">
        <v>13</v>
      </c>
      <c r="F1015" s="38">
        <v>1894</v>
      </c>
      <c r="G1015" t="s">
        <v>14</v>
      </c>
      <c r="H1015" t="s">
        <v>25</v>
      </c>
      <c r="I1015" s="38">
        <v>1161.6</v>
      </c>
      <c r="J1015">
        <v>18</v>
      </c>
      <c r="K1015">
        <v>1</v>
      </c>
    </row>
    <row r="1016" spans="1:11">
      <c r="A1016">
        <v>1015</v>
      </c>
      <c r="B1016">
        <v>30</v>
      </c>
      <c r="C1016" t="s">
        <v>11</v>
      </c>
      <c r="D1016" t="s">
        <v>12</v>
      </c>
      <c r="E1016" t="s">
        <v>13</v>
      </c>
      <c r="F1016" s="38">
        <v>6641</v>
      </c>
      <c r="G1016" t="s">
        <v>14</v>
      </c>
      <c r="H1016" t="s">
        <v>21</v>
      </c>
      <c r="I1016" s="38">
        <v>3248.1</v>
      </c>
      <c r="J1016">
        <v>48</v>
      </c>
      <c r="K1016">
        <v>0</v>
      </c>
    </row>
    <row r="1017" hidden="1" spans="1:11">
      <c r="A1017">
        <v>1016</v>
      </c>
      <c r="B1017">
        <v>53</v>
      </c>
      <c r="C1017" t="s">
        <v>16</v>
      </c>
      <c r="D1017" t="s">
        <v>24</v>
      </c>
      <c r="E1017" t="s">
        <v>13</v>
      </c>
      <c r="F1017" s="38">
        <v>5911</v>
      </c>
      <c r="G1017" t="s">
        <v>14</v>
      </c>
      <c r="H1017" t="s">
        <v>25</v>
      </c>
      <c r="I1017" s="38">
        <v>1568.7</v>
      </c>
      <c r="J1017">
        <v>24</v>
      </c>
      <c r="K1017">
        <v>0</v>
      </c>
    </row>
    <row r="1018" hidden="1" spans="1:11">
      <c r="A1018">
        <v>1017</v>
      </c>
      <c r="B1018">
        <v>32</v>
      </c>
      <c r="C1018" t="s">
        <v>16</v>
      </c>
      <c r="D1018" t="s">
        <v>12</v>
      </c>
      <c r="E1018" t="s">
        <v>13</v>
      </c>
      <c r="F1018" s="38">
        <v>5287</v>
      </c>
      <c r="G1018" t="s">
        <v>14</v>
      </c>
      <c r="H1018" t="s">
        <v>21</v>
      </c>
      <c r="I1018" s="38">
        <v>2468.7</v>
      </c>
      <c r="J1018">
        <v>28</v>
      </c>
      <c r="K1018">
        <v>0</v>
      </c>
    </row>
    <row r="1019" hidden="1" spans="1:11">
      <c r="A1019">
        <v>1018</v>
      </c>
      <c r="B1019">
        <v>29</v>
      </c>
      <c r="C1019" t="s">
        <v>11</v>
      </c>
      <c r="D1019" t="s">
        <v>12</v>
      </c>
      <c r="E1019" t="s">
        <v>13</v>
      </c>
      <c r="F1019" s="38">
        <v>3441</v>
      </c>
      <c r="G1019" t="s">
        <v>14</v>
      </c>
      <c r="H1019" t="s">
        <v>19</v>
      </c>
      <c r="I1019" s="38">
        <v>3374.1</v>
      </c>
      <c r="J1019">
        <v>24</v>
      </c>
      <c r="K1019">
        <v>0</v>
      </c>
    </row>
    <row r="1020" hidden="1" spans="1:11">
      <c r="A1020">
        <v>1019</v>
      </c>
      <c r="B1020">
        <v>30</v>
      </c>
      <c r="C1020" t="s">
        <v>11</v>
      </c>
      <c r="D1020" t="s">
        <v>12</v>
      </c>
      <c r="E1020" t="s">
        <v>13</v>
      </c>
      <c r="F1020" s="38">
        <v>3239</v>
      </c>
      <c r="G1020" t="s">
        <v>20</v>
      </c>
      <c r="H1020" t="s">
        <v>19</v>
      </c>
      <c r="I1020" s="38">
        <v>5383.8</v>
      </c>
      <c r="J1020">
        <v>30</v>
      </c>
      <c r="K1020">
        <v>0</v>
      </c>
    </row>
    <row r="1021" hidden="1" spans="1:11">
      <c r="A1021">
        <v>1020</v>
      </c>
      <c r="B1021">
        <v>59</v>
      </c>
      <c r="C1021" t="s">
        <v>16</v>
      </c>
      <c r="D1021" t="s">
        <v>17</v>
      </c>
      <c r="E1021" t="s">
        <v>13</v>
      </c>
      <c r="F1021" s="38">
        <v>4201</v>
      </c>
      <c r="G1021" t="s">
        <v>18</v>
      </c>
      <c r="H1021" t="s">
        <v>15</v>
      </c>
      <c r="I1021" s="38">
        <v>2098.8</v>
      </c>
      <c r="J1021">
        <v>30</v>
      </c>
      <c r="K1021">
        <v>1</v>
      </c>
    </row>
    <row r="1022" spans="1:11">
      <c r="A1022">
        <v>1021</v>
      </c>
      <c r="B1022">
        <v>40</v>
      </c>
      <c r="C1022" t="s">
        <v>16</v>
      </c>
      <c r="D1022" t="s">
        <v>17</v>
      </c>
      <c r="E1022" t="s">
        <v>23</v>
      </c>
      <c r="F1022" s="38">
        <v>6468</v>
      </c>
      <c r="G1022" t="s">
        <v>14</v>
      </c>
      <c r="H1022" t="s">
        <v>15</v>
      </c>
      <c r="I1022" s="38">
        <v>1746</v>
      </c>
      <c r="J1022">
        <v>18</v>
      </c>
      <c r="K1022">
        <v>0</v>
      </c>
    </row>
    <row r="1023" hidden="1" spans="1:11">
      <c r="A1023">
        <v>1022</v>
      </c>
      <c r="B1023">
        <v>31</v>
      </c>
      <c r="C1023" t="s">
        <v>16</v>
      </c>
      <c r="D1023" t="s">
        <v>17</v>
      </c>
      <c r="E1023" t="s">
        <v>23</v>
      </c>
      <c r="F1023" s="38">
        <v>2665</v>
      </c>
      <c r="G1023" t="s">
        <v>14</v>
      </c>
      <c r="H1023" t="s">
        <v>15</v>
      </c>
      <c r="I1023" s="38">
        <v>4361.5</v>
      </c>
      <c r="J1023">
        <v>42</v>
      </c>
      <c r="K1023">
        <v>1</v>
      </c>
    </row>
    <row r="1024" hidden="1" spans="1:11">
      <c r="A1024">
        <v>1023</v>
      </c>
      <c r="B1024">
        <v>26</v>
      </c>
      <c r="C1024" t="s">
        <v>16</v>
      </c>
      <c r="D1024" t="s">
        <v>12</v>
      </c>
      <c r="E1024" t="s">
        <v>23</v>
      </c>
      <c r="F1024" s="38">
        <v>4237</v>
      </c>
      <c r="G1024" t="s">
        <v>18</v>
      </c>
      <c r="H1024" t="s">
        <v>15</v>
      </c>
      <c r="I1024" s="38">
        <v>2363.9</v>
      </c>
      <c r="J1024">
        <v>12</v>
      </c>
      <c r="K1024">
        <v>1</v>
      </c>
    </row>
    <row r="1025" hidden="1" spans="1:11">
      <c r="A1025">
        <v>1024</v>
      </c>
      <c r="B1025">
        <v>35</v>
      </c>
      <c r="C1025" t="s">
        <v>16</v>
      </c>
      <c r="D1025" t="s">
        <v>12</v>
      </c>
      <c r="E1025" t="s">
        <v>13</v>
      </c>
      <c r="F1025" s="38">
        <v>4033</v>
      </c>
      <c r="G1025" t="s">
        <v>14</v>
      </c>
      <c r="H1025" t="s">
        <v>15</v>
      </c>
      <c r="I1025" s="38">
        <v>4124.7</v>
      </c>
      <c r="J1025">
        <v>30</v>
      </c>
      <c r="K1025">
        <v>0</v>
      </c>
    </row>
    <row r="1026" hidden="1" spans="1:11">
      <c r="A1026">
        <v>1025</v>
      </c>
      <c r="B1026">
        <v>25</v>
      </c>
      <c r="C1026" t="s">
        <v>11</v>
      </c>
      <c r="D1026" t="s">
        <v>12</v>
      </c>
      <c r="E1026" t="s">
        <v>13</v>
      </c>
      <c r="F1026" s="38">
        <v>3873</v>
      </c>
      <c r="G1026" t="s">
        <v>18</v>
      </c>
      <c r="H1026" t="s">
        <v>21</v>
      </c>
      <c r="I1026" s="38">
        <v>3430.8</v>
      </c>
      <c r="J1026">
        <v>15</v>
      </c>
      <c r="K1026">
        <v>0</v>
      </c>
    </row>
    <row r="1027" hidden="1" spans="1:11">
      <c r="A1027">
        <v>1026</v>
      </c>
      <c r="B1027">
        <v>30</v>
      </c>
      <c r="C1027" t="s">
        <v>16</v>
      </c>
      <c r="D1027" t="s">
        <v>12</v>
      </c>
      <c r="E1027" t="s">
        <v>13</v>
      </c>
      <c r="F1027" s="38">
        <v>2544</v>
      </c>
      <c r="G1027" t="s">
        <v>26</v>
      </c>
      <c r="H1027" t="s">
        <v>25</v>
      </c>
      <c r="I1027" s="38">
        <v>2093.4</v>
      </c>
      <c r="J1027">
        <v>15</v>
      </c>
      <c r="K1027">
        <v>0</v>
      </c>
    </row>
    <row r="1028" hidden="1" spans="1:11">
      <c r="A1028">
        <v>1027</v>
      </c>
      <c r="B1028">
        <v>36</v>
      </c>
      <c r="C1028" t="s">
        <v>11</v>
      </c>
      <c r="D1028" t="s">
        <v>17</v>
      </c>
      <c r="E1028" t="s">
        <v>13</v>
      </c>
      <c r="F1028" s="38">
        <v>2401</v>
      </c>
      <c r="G1028" t="s">
        <v>18</v>
      </c>
      <c r="H1028" t="s">
        <v>15</v>
      </c>
      <c r="I1028" s="38">
        <v>2174.7</v>
      </c>
      <c r="J1028">
        <v>36</v>
      </c>
      <c r="K1028">
        <v>1</v>
      </c>
    </row>
    <row r="1029" hidden="1" spans="1:11">
      <c r="A1029">
        <v>1028</v>
      </c>
      <c r="B1029">
        <v>30</v>
      </c>
      <c r="C1029" t="s">
        <v>16</v>
      </c>
      <c r="D1029" t="s">
        <v>17</v>
      </c>
      <c r="E1029" t="s">
        <v>13</v>
      </c>
      <c r="F1029" s="38">
        <v>3731</v>
      </c>
      <c r="G1029" t="s">
        <v>14</v>
      </c>
      <c r="H1029" t="s">
        <v>15</v>
      </c>
      <c r="I1029" s="38">
        <v>1405.8</v>
      </c>
      <c r="J1029">
        <v>12</v>
      </c>
      <c r="K1029">
        <v>1</v>
      </c>
    </row>
    <row r="1030" hidden="1" spans="1:11">
      <c r="A1030">
        <v>1029</v>
      </c>
      <c r="B1030">
        <v>72</v>
      </c>
      <c r="C1030" t="s">
        <v>16</v>
      </c>
      <c r="D1030" t="s">
        <v>17</v>
      </c>
      <c r="E1030" t="s">
        <v>13</v>
      </c>
      <c r="F1030" s="38">
        <v>5012</v>
      </c>
      <c r="G1030" t="s">
        <v>14</v>
      </c>
      <c r="H1030" t="s">
        <v>15</v>
      </c>
      <c r="I1030" s="38">
        <v>3054.6</v>
      </c>
      <c r="J1030">
        <v>42</v>
      </c>
      <c r="K1030">
        <v>0</v>
      </c>
    </row>
    <row r="1031" hidden="1" spans="1:11">
      <c r="A1031">
        <v>1030</v>
      </c>
      <c r="B1031">
        <v>33</v>
      </c>
      <c r="C1031" t="s">
        <v>11</v>
      </c>
      <c r="D1031" t="s">
        <v>17</v>
      </c>
      <c r="E1031" t="s">
        <v>13</v>
      </c>
      <c r="F1031" s="38">
        <v>3232</v>
      </c>
      <c r="G1031" t="s">
        <v>14</v>
      </c>
      <c r="H1031" t="s">
        <v>25</v>
      </c>
      <c r="I1031" s="38">
        <v>4315.5</v>
      </c>
      <c r="J1031">
        <v>36</v>
      </c>
      <c r="K1031">
        <v>0</v>
      </c>
    </row>
    <row r="1032" hidden="1" spans="1:11">
      <c r="A1032">
        <v>1031</v>
      </c>
      <c r="B1032">
        <v>29</v>
      </c>
      <c r="C1032" t="s">
        <v>16</v>
      </c>
      <c r="D1032" t="s">
        <v>12</v>
      </c>
      <c r="E1032" t="s">
        <v>13</v>
      </c>
      <c r="F1032" s="38">
        <v>2844</v>
      </c>
      <c r="G1032" t="s">
        <v>20</v>
      </c>
      <c r="H1032" t="s">
        <v>21</v>
      </c>
      <c r="I1032" s="38">
        <v>1862.1</v>
      </c>
      <c r="J1032">
        <v>10</v>
      </c>
      <c r="K1032">
        <v>0</v>
      </c>
    </row>
    <row r="1033" hidden="1" spans="1:11">
      <c r="A1033">
        <v>1032</v>
      </c>
      <c r="B1033">
        <v>48</v>
      </c>
      <c r="C1033" t="s">
        <v>16</v>
      </c>
      <c r="D1033" t="s">
        <v>24</v>
      </c>
      <c r="E1033" t="s">
        <v>13</v>
      </c>
      <c r="F1033" s="38">
        <v>2181</v>
      </c>
      <c r="G1033" t="s">
        <v>14</v>
      </c>
      <c r="H1033" t="s">
        <v>21</v>
      </c>
      <c r="I1033" s="38">
        <v>2619</v>
      </c>
      <c r="J1033">
        <v>4</v>
      </c>
      <c r="K1033">
        <v>0</v>
      </c>
    </row>
    <row r="1034" hidden="1" spans="1:11">
      <c r="A1034">
        <v>1033</v>
      </c>
      <c r="B1034">
        <v>59</v>
      </c>
      <c r="C1034" t="s">
        <v>16</v>
      </c>
      <c r="D1034" t="s">
        <v>17</v>
      </c>
      <c r="E1034" t="s">
        <v>13</v>
      </c>
      <c r="F1034" s="38">
        <v>2261</v>
      </c>
      <c r="G1034" t="s">
        <v>18</v>
      </c>
      <c r="H1034" t="s">
        <v>15</v>
      </c>
      <c r="I1034" s="38">
        <v>842.6</v>
      </c>
      <c r="J1034">
        <v>12</v>
      </c>
      <c r="K1034">
        <v>1</v>
      </c>
    </row>
    <row r="1035" hidden="1" spans="1:11">
      <c r="A1035">
        <v>1034</v>
      </c>
      <c r="B1035">
        <v>20</v>
      </c>
      <c r="C1035" t="s">
        <v>16</v>
      </c>
      <c r="D1035" t="s">
        <v>12</v>
      </c>
      <c r="E1035" t="s">
        <v>13</v>
      </c>
      <c r="F1035" s="38">
        <v>2415</v>
      </c>
      <c r="G1035" t="s">
        <v>14</v>
      </c>
      <c r="H1035" t="s">
        <v>25</v>
      </c>
      <c r="I1035" s="38">
        <v>1464.1</v>
      </c>
      <c r="J1035">
        <v>12</v>
      </c>
      <c r="K1035">
        <v>1</v>
      </c>
    </row>
    <row r="1036" hidden="1" spans="1:11">
      <c r="A1036">
        <v>1035</v>
      </c>
      <c r="B1036">
        <v>25</v>
      </c>
      <c r="C1036" t="s">
        <v>11</v>
      </c>
      <c r="D1036" t="s">
        <v>12</v>
      </c>
      <c r="E1036" t="s">
        <v>22</v>
      </c>
      <c r="F1036" s="38">
        <v>5274</v>
      </c>
      <c r="G1036" t="s">
        <v>20</v>
      </c>
      <c r="H1036" t="s">
        <v>15</v>
      </c>
      <c r="I1036" s="38">
        <v>1080</v>
      </c>
      <c r="J1036">
        <v>12</v>
      </c>
      <c r="K1036">
        <v>0</v>
      </c>
    </row>
    <row r="1037" hidden="1" spans="1:11">
      <c r="A1037">
        <v>1036</v>
      </c>
      <c r="B1037">
        <v>30</v>
      </c>
      <c r="C1037" t="s">
        <v>16</v>
      </c>
      <c r="D1037" t="s">
        <v>12</v>
      </c>
      <c r="E1037" t="s">
        <v>13</v>
      </c>
      <c r="F1037" s="38">
        <v>3635</v>
      </c>
      <c r="G1037" t="s">
        <v>14</v>
      </c>
      <c r="H1037" t="s">
        <v>15</v>
      </c>
      <c r="I1037" s="38">
        <v>947.7</v>
      </c>
      <c r="J1037">
        <v>15</v>
      </c>
      <c r="K1037">
        <v>0</v>
      </c>
    </row>
    <row r="1038" hidden="1" spans="1:11">
      <c r="A1038">
        <v>1037</v>
      </c>
      <c r="B1038">
        <v>22</v>
      </c>
      <c r="C1038" t="s">
        <v>16</v>
      </c>
      <c r="D1038" t="s">
        <v>12</v>
      </c>
      <c r="E1038" t="s">
        <v>13</v>
      </c>
      <c r="F1038" s="38">
        <v>2094</v>
      </c>
      <c r="G1038" t="s">
        <v>14</v>
      </c>
      <c r="H1038" t="s">
        <v>15</v>
      </c>
      <c r="I1038" s="38">
        <v>2359.5</v>
      </c>
      <c r="J1038">
        <v>36</v>
      </c>
      <c r="K1038">
        <v>1</v>
      </c>
    </row>
    <row r="1039" hidden="1" spans="1:11">
      <c r="A1039">
        <v>1038</v>
      </c>
      <c r="B1039">
        <v>50</v>
      </c>
      <c r="C1039" t="s">
        <v>16</v>
      </c>
      <c r="D1039" t="s">
        <v>17</v>
      </c>
      <c r="E1039" t="s">
        <v>13</v>
      </c>
      <c r="F1039" s="38">
        <v>3544</v>
      </c>
      <c r="G1039" t="s">
        <v>20</v>
      </c>
      <c r="H1039" t="s">
        <v>21</v>
      </c>
      <c r="I1039" s="38">
        <v>3174.3</v>
      </c>
      <c r="J1039">
        <v>12</v>
      </c>
      <c r="K1039">
        <v>0</v>
      </c>
    </row>
    <row r="1040" spans="1:11">
      <c r="A1040">
        <v>1039</v>
      </c>
      <c r="B1040">
        <v>33</v>
      </c>
      <c r="C1040" t="s">
        <v>11</v>
      </c>
      <c r="D1040" t="s">
        <v>12</v>
      </c>
      <c r="E1040" t="s">
        <v>13</v>
      </c>
      <c r="F1040" s="38">
        <v>6779</v>
      </c>
      <c r="G1040" t="s">
        <v>14</v>
      </c>
      <c r="H1040" t="s">
        <v>21</v>
      </c>
      <c r="I1040" s="38">
        <v>949.5</v>
      </c>
      <c r="J1040">
        <v>18</v>
      </c>
      <c r="K1040">
        <v>0</v>
      </c>
    </row>
    <row r="1041" hidden="1" spans="1:11">
      <c r="A1041">
        <v>1040</v>
      </c>
      <c r="B1041">
        <v>34</v>
      </c>
      <c r="C1041" t="s">
        <v>16</v>
      </c>
      <c r="D1041" t="s">
        <v>17</v>
      </c>
      <c r="E1041" t="s">
        <v>13</v>
      </c>
      <c r="F1041" s="38">
        <v>4191</v>
      </c>
      <c r="G1041" t="s">
        <v>14</v>
      </c>
      <c r="H1041" t="s">
        <v>25</v>
      </c>
      <c r="I1041" s="38">
        <v>1944.8</v>
      </c>
      <c r="J1041">
        <v>18</v>
      </c>
      <c r="K1041">
        <v>1</v>
      </c>
    </row>
    <row r="1042" hidden="1" spans="1:11">
      <c r="A1042">
        <v>1041</v>
      </c>
      <c r="B1042">
        <v>21</v>
      </c>
      <c r="C1042" t="s">
        <v>16</v>
      </c>
      <c r="D1042" t="s">
        <v>17</v>
      </c>
      <c r="E1042" t="s">
        <v>13</v>
      </c>
      <c r="F1042" s="38">
        <v>2903</v>
      </c>
      <c r="G1042" t="s">
        <v>20</v>
      </c>
      <c r="H1042" t="s">
        <v>21</v>
      </c>
      <c r="I1042" s="38">
        <v>3251.6</v>
      </c>
      <c r="J1042">
        <v>9</v>
      </c>
      <c r="K1042">
        <v>1</v>
      </c>
    </row>
    <row r="1043" hidden="1" spans="1:11">
      <c r="A1043">
        <v>1042</v>
      </c>
      <c r="B1043">
        <v>37</v>
      </c>
      <c r="C1043" t="s">
        <v>16</v>
      </c>
      <c r="D1043" t="s">
        <v>12</v>
      </c>
      <c r="E1043" t="s">
        <v>13</v>
      </c>
      <c r="F1043" s="38">
        <v>1975</v>
      </c>
      <c r="G1043" t="s">
        <v>14</v>
      </c>
      <c r="H1043" t="s">
        <v>21</v>
      </c>
      <c r="I1043" s="38">
        <v>1755</v>
      </c>
      <c r="J1043">
        <v>18</v>
      </c>
      <c r="K1043">
        <v>0</v>
      </c>
    </row>
    <row r="1044" hidden="1" spans="1:11">
      <c r="A1044">
        <v>1043</v>
      </c>
      <c r="B1044">
        <v>26</v>
      </c>
      <c r="C1044" t="s">
        <v>11</v>
      </c>
      <c r="D1044" t="s">
        <v>12</v>
      </c>
      <c r="E1044" t="s">
        <v>13</v>
      </c>
      <c r="F1044" s="38">
        <v>3322</v>
      </c>
      <c r="G1044" t="s">
        <v>14</v>
      </c>
      <c r="H1044" t="s">
        <v>21</v>
      </c>
      <c r="I1044" s="38">
        <v>838.8</v>
      </c>
      <c r="J1044">
        <v>6</v>
      </c>
      <c r="K1044">
        <v>0</v>
      </c>
    </row>
    <row r="1045" hidden="1" spans="1:11">
      <c r="A1045">
        <v>1044</v>
      </c>
      <c r="B1045">
        <v>37</v>
      </c>
      <c r="C1045" t="s">
        <v>16</v>
      </c>
      <c r="D1045" t="s">
        <v>12</v>
      </c>
      <c r="E1045" t="s">
        <v>13</v>
      </c>
      <c r="F1045" s="38">
        <v>2443</v>
      </c>
      <c r="G1045" t="s">
        <v>14</v>
      </c>
      <c r="H1045" t="s">
        <v>25</v>
      </c>
      <c r="I1045" s="38">
        <v>5220</v>
      </c>
      <c r="J1045">
        <v>36</v>
      </c>
      <c r="K1045">
        <v>0</v>
      </c>
    </row>
    <row r="1046" hidden="1" spans="1:11">
      <c r="A1046">
        <v>1045</v>
      </c>
      <c r="B1046">
        <v>48</v>
      </c>
      <c r="C1046" t="s">
        <v>11</v>
      </c>
      <c r="D1046" t="s">
        <v>17</v>
      </c>
      <c r="E1046" t="s">
        <v>13</v>
      </c>
      <c r="F1046" s="38">
        <v>1444</v>
      </c>
      <c r="G1046" t="s">
        <v>18</v>
      </c>
      <c r="H1046" t="s">
        <v>21</v>
      </c>
      <c r="I1046" s="38">
        <v>8233.5</v>
      </c>
      <c r="J1046">
        <v>30</v>
      </c>
      <c r="K1046">
        <v>1</v>
      </c>
    </row>
    <row r="1047" hidden="1" spans="1:11">
      <c r="A1047">
        <v>1046</v>
      </c>
      <c r="B1047">
        <v>51</v>
      </c>
      <c r="C1047" t="s">
        <v>16</v>
      </c>
      <c r="D1047" t="s">
        <v>12</v>
      </c>
      <c r="E1047" t="s">
        <v>13</v>
      </c>
      <c r="F1047" s="38">
        <v>5925</v>
      </c>
      <c r="G1047" t="s">
        <v>26</v>
      </c>
      <c r="H1047" t="s">
        <v>21</v>
      </c>
      <c r="I1047" s="38">
        <v>1423.8</v>
      </c>
      <c r="J1047">
        <v>18</v>
      </c>
      <c r="K1047">
        <v>0</v>
      </c>
    </row>
    <row r="1048" hidden="1" spans="1:11">
      <c r="A1048">
        <v>1047</v>
      </c>
      <c r="B1048">
        <v>26</v>
      </c>
      <c r="C1048" t="s">
        <v>11</v>
      </c>
      <c r="D1048" t="s">
        <v>24</v>
      </c>
      <c r="E1048" t="s">
        <v>22</v>
      </c>
      <c r="F1048" s="38">
        <v>3062</v>
      </c>
      <c r="G1048" t="s">
        <v>20</v>
      </c>
      <c r="H1048" t="s">
        <v>21</v>
      </c>
      <c r="I1048" s="38">
        <v>1411.2</v>
      </c>
      <c r="J1048">
        <v>18</v>
      </c>
      <c r="K1048">
        <v>0</v>
      </c>
    </row>
    <row r="1049" hidden="1" spans="1:11">
      <c r="A1049">
        <v>1048</v>
      </c>
      <c r="B1049">
        <v>43</v>
      </c>
      <c r="C1049" t="s">
        <v>11</v>
      </c>
      <c r="D1049" t="s">
        <v>24</v>
      </c>
      <c r="E1049" t="s">
        <v>13</v>
      </c>
      <c r="F1049" s="38">
        <v>2358</v>
      </c>
      <c r="G1049" t="s">
        <v>20</v>
      </c>
      <c r="H1049" t="s">
        <v>19</v>
      </c>
      <c r="I1049" s="38">
        <v>838.8</v>
      </c>
      <c r="J1049">
        <v>6</v>
      </c>
      <c r="K1049">
        <v>0</v>
      </c>
    </row>
    <row r="1050" hidden="1" spans="1:11">
      <c r="A1050">
        <v>1049</v>
      </c>
      <c r="B1050">
        <v>30</v>
      </c>
      <c r="C1050" t="s">
        <v>16</v>
      </c>
      <c r="D1050" t="s">
        <v>12</v>
      </c>
      <c r="E1050" t="s">
        <v>13</v>
      </c>
      <c r="F1050" s="38">
        <v>2326</v>
      </c>
      <c r="G1050" t="s">
        <v>20</v>
      </c>
      <c r="H1050" t="s">
        <v>19</v>
      </c>
      <c r="I1050" s="38">
        <v>3339.9</v>
      </c>
      <c r="J1050">
        <v>36</v>
      </c>
      <c r="K1050">
        <v>0</v>
      </c>
    </row>
    <row r="1051" hidden="1" spans="1:11">
      <c r="A1051">
        <v>1050</v>
      </c>
      <c r="B1051">
        <v>32</v>
      </c>
      <c r="C1051" t="s">
        <v>11</v>
      </c>
      <c r="D1051" t="s">
        <v>12</v>
      </c>
      <c r="E1051" t="s">
        <v>13</v>
      </c>
      <c r="F1051" s="38">
        <v>2003</v>
      </c>
      <c r="G1051" t="s">
        <v>14</v>
      </c>
      <c r="H1051" t="s">
        <v>15</v>
      </c>
      <c r="I1051" s="38">
        <v>2682.9</v>
      </c>
      <c r="J1051">
        <v>24</v>
      </c>
      <c r="K1051">
        <v>1</v>
      </c>
    </row>
    <row r="1052" hidden="1" spans="1:11">
      <c r="A1052">
        <v>1051</v>
      </c>
      <c r="B1052">
        <v>31</v>
      </c>
      <c r="C1052" t="s">
        <v>11</v>
      </c>
      <c r="D1052" t="s">
        <v>12</v>
      </c>
      <c r="E1052" t="s">
        <v>13</v>
      </c>
      <c r="F1052" s="38">
        <v>4866</v>
      </c>
      <c r="G1052" t="s">
        <v>26</v>
      </c>
      <c r="H1052" t="s">
        <v>21</v>
      </c>
      <c r="I1052" s="38">
        <v>1238.4</v>
      </c>
      <c r="J1052">
        <v>24</v>
      </c>
      <c r="K1052">
        <v>0</v>
      </c>
    </row>
    <row r="1053" hidden="1" spans="1:11">
      <c r="A1053">
        <v>1052</v>
      </c>
      <c r="B1053">
        <v>46</v>
      </c>
      <c r="C1053" t="s">
        <v>16</v>
      </c>
      <c r="D1053" t="s">
        <v>17</v>
      </c>
      <c r="E1053" t="s">
        <v>13</v>
      </c>
      <c r="F1053" s="38">
        <v>5626</v>
      </c>
      <c r="G1053" t="s">
        <v>14</v>
      </c>
      <c r="H1053" t="s">
        <v>21</v>
      </c>
      <c r="I1053" s="38">
        <v>9329.4</v>
      </c>
      <c r="J1053">
        <v>60</v>
      </c>
      <c r="K1053">
        <v>0</v>
      </c>
    </row>
    <row r="1054" hidden="1" spans="1:11">
      <c r="A1054">
        <v>1053</v>
      </c>
      <c r="B1054">
        <v>35</v>
      </c>
      <c r="C1054" t="s">
        <v>16</v>
      </c>
      <c r="D1054" t="s">
        <v>12</v>
      </c>
      <c r="E1054" t="s">
        <v>13</v>
      </c>
      <c r="F1054" s="38">
        <v>5855</v>
      </c>
      <c r="G1054" t="s">
        <v>14</v>
      </c>
      <c r="H1054" t="s">
        <v>21</v>
      </c>
      <c r="I1054" s="38">
        <v>4134.6</v>
      </c>
      <c r="J1054">
        <v>18</v>
      </c>
      <c r="K1054">
        <v>0</v>
      </c>
    </row>
    <row r="1055" hidden="1" spans="1:11">
      <c r="A1055">
        <v>1054</v>
      </c>
      <c r="B1055">
        <v>21</v>
      </c>
      <c r="C1055" t="s">
        <v>11</v>
      </c>
      <c r="D1055" t="s">
        <v>17</v>
      </c>
      <c r="E1055" t="s">
        <v>22</v>
      </c>
      <c r="F1055" s="38">
        <v>2917</v>
      </c>
      <c r="G1055" t="s">
        <v>14</v>
      </c>
      <c r="H1055" t="s">
        <v>21</v>
      </c>
      <c r="I1055" s="38">
        <v>7839.7</v>
      </c>
      <c r="J1055">
        <v>36</v>
      </c>
      <c r="K1055">
        <v>1</v>
      </c>
    </row>
    <row r="1056" spans="1:11">
      <c r="A1056">
        <v>1055</v>
      </c>
      <c r="B1056">
        <v>39</v>
      </c>
      <c r="C1056" t="s">
        <v>16</v>
      </c>
      <c r="D1056" t="s">
        <v>17</v>
      </c>
      <c r="E1056" t="s">
        <v>22</v>
      </c>
      <c r="F1056" s="38">
        <v>6079</v>
      </c>
      <c r="G1056" t="s">
        <v>14</v>
      </c>
      <c r="H1056" t="s">
        <v>25</v>
      </c>
      <c r="I1056" s="38">
        <v>6253.2</v>
      </c>
      <c r="J1056">
        <v>36</v>
      </c>
      <c r="K1056">
        <v>0</v>
      </c>
    </row>
    <row r="1057" hidden="1" spans="1:11">
      <c r="A1057">
        <v>1056</v>
      </c>
      <c r="B1057">
        <v>24</v>
      </c>
      <c r="C1057" t="s">
        <v>16</v>
      </c>
      <c r="D1057" t="s">
        <v>17</v>
      </c>
      <c r="E1057" t="s">
        <v>13</v>
      </c>
      <c r="F1057" s="38">
        <v>3292</v>
      </c>
      <c r="G1057" t="s">
        <v>20</v>
      </c>
      <c r="H1057" t="s">
        <v>25</v>
      </c>
      <c r="I1057" s="38">
        <v>3102</v>
      </c>
      <c r="J1057">
        <v>36</v>
      </c>
      <c r="K1057">
        <v>1</v>
      </c>
    </row>
    <row r="1058" hidden="1" spans="1:11">
      <c r="A1058">
        <v>1057</v>
      </c>
      <c r="B1058">
        <v>32</v>
      </c>
      <c r="C1058" t="s">
        <v>16</v>
      </c>
      <c r="D1058" t="s">
        <v>24</v>
      </c>
      <c r="E1058" t="s">
        <v>13</v>
      </c>
      <c r="F1058" s="38">
        <v>1920</v>
      </c>
      <c r="G1058" t="s">
        <v>14</v>
      </c>
      <c r="H1058" t="s">
        <v>25</v>
      </c>
      <c r="I1058" s="38">
        <v>4665.1</v>
      </c>
      <c r="J1058">
        <v>24</v>
      </c>
      <c r="K1058">
        <v>1</v>
      </c>
    </row>
    <row r="1059" hidden="1" spans="1:11">
      <c r="A1059">
        <v>1058</v>
      </c>
      <c r="B1059">
        <v>39</v>
      </c>
      <c r="C1059" t="s">
        <v>16</v>
      </c>
      <c r="D1059" t="s">
        <v>12</v>
      </c>
      <c r="E1059" t="s">
        <v>23</v>
      </c>
      <c r="F1059" s="38">
        <v>3424</v>
      </c>
      <c r="G1059" t="s">
        <v>20</v>
      </c>
      <c r="H1059" t="s">
        <v>21</v>
      </c>
      <c r="I1059" s="38">
        <v>7972.2</v>
      </c>
      <c r="J1059">
        <v>48</v>
      </c>
      <c r="K1059">
        <v>0</v>
      </c>
    </row>
    <row r="1060" hidden="1" spans="1:11">
      <c r="A1060">
        <v>1059</v>
      </c>
      <c r="B1060">
        <v>52</v>
      </c>
      <c r="C1060" t="s">
        <v>16</v>
      </c>
      <c r="D1060" t="s">
        <v>12</v>
      </c>
      <c r="E1060" t="s">
        <v>22</v>
      </c>
      <c r="F1060" s="38">
        <v>4265</v>
      </c>
      <c r="G1060" t="s">
        <v>18</v>
      </c>
      <c r="H1060" t="s">
        <v>25</v>
      </c>
      <c r="I1060" s="38">
        <v>17539.5</v>
      </c>
      <c r="J1060">
        <v>54</v>
      </c>
      <c r="K1060">
        <v>1</v>
      </c>
    </row>
    <row r="1061" hidden="1" spans="1:11">
      <c r="A1061">
        <v>1060</v>
      </c>
      <c r="B1061">
        <v>28</v>
      </c>
      <c r="C1061" t="s">
        <v>11</v>
      </c>
      <c r="D1061" t="s">
        <v>12</v>
      </c>
      <c r="E1061" t="s">
        <v>22</v>
      </c>
      <c r="F1061" s="38">
        <v>2279</v>
      </c>
      <c r="G1061" t="s">
        <v>14</v>
      </c>
      <c r="H1061" t="s">
        <v>15</v>
      </c>
      <c r="I1061" s="38">
        <v>1289.7</v>
      </c>
      <c r="J1061">
        <v>15</v>
      </c>
      <c r="K1061">
        <v>0</v>
      </c>
    </row>
    <row r="1062" hidden="1" spans="1:11">
      <c r="A1062">
        <v>1061</v>
      </c>
      <c r="B1062">
        <v>52</v>
      </c>
      <c r="C1062" t="s">
        <v>16</v>
      </c>
      <c r="D1062" t="s">
        <v>12</v>
      </c>
      <c r="E1062" t="s">
        <v>13</v>
      </c>
      <c r="F1062" s="38">
        <v>4508</v>
      </c>
      <c r="G1062" t="s">
        <v>14</v>
      </c>
      <c r="H1062" t="s">
        <v>19</v>
      </c>
      <c r="I1062" s="38">
        <v>2715.3</v>
      </c>
      <c r="J1062">
        <v>30</v>
      </c>
      <c r="K1062">
        <v>0</v>
      </c>
    </row>
    <row r="1063" hidden="1" spans="1:11">
      <c r="A1063">
        <v>1062</v>
      </c>
      <c r="B1063">
        <v>31</v>
      </c>
      <c r="C1063" t="s">
        <v>16</v>
      </c>
      <c r="D1063" t="s">
        <v>12</v>
      </c>
      <c r="E1063" t="s">
        <v>22</v>
      </c>
      <c r="F1063" s="38">
        <v>3042</v>
      </c>
      <c r="G1063" t="s">
        <v>18</v>
      </c>
      <c r="H1063" t="s">
        <v>15</v>
      </c>
      <c r="I1063" s="38">
        <v>2090</v>
      </c>
      <c r="J1063">
        <v>15</v>
      </c>
      <c r="K1063">
        <v>1</v>
      </c>
    </row>
    <row r="1064" hidden="1" spans="1:11">
      <c r="A1064">
        <v>1063</v>
      </c>
      <c r="B1064">
        <v>42</v>
      </c>
      <c r="C1064" t="s">
        <v>16</v>
      </c>
      <c r="D1064" t="s">
        <v>24</v>
      </c>
      <c r="E1064" t="s">
        <v>13</v>
      </c>
      <c r="F1064" s="38">
        <v>3977</v>
      </c>
      <c r="G1064" t="s">
        <v>14</v>
      </c>
      <c r="H1064" t="s">
        <v>21</v>
      </c>
      <c r="I1064" s="38">
        <v>2791.8</v>
      </c>
      <c r="J1064">
        <v>24</v>
      </c>
      <c r="K1064">
        <v>1</v>
      </c>
    </row>
    <row r="1065" hidden="1" spans="1:11">
      <c r="A1065">
        <v>1064</v>
      </c>
      <c r="B1065">
        <v>25</v>
      </c>
      <c r="C1065" t="s">
        <v>11</v>
      </c>
      <c r="D1065" t="s">
        <v>12</v>
      </c>
      <c r="E1065" t="s">
        <v>13</v>
      </c>
      <c r="F1065" s="38">
        <v>2377</v>
      </c>
      <c r="G1065" t="s">
        <v>20</v>
      </c>
      <c r="H1065" t="s">
        <v>21</v>
      </c>
      <c r="I1065" s="38">
        <v>896.4</v>
      </c>
      <c r="J1065">
        <v>12</v>
      </c>
      <c r="K1065">
        <v>0</v>
      </c>
    </row>
    <row r="1066" hidden="1" spans="1:11">
      <c r="A1066">
        <v>1065</v>
      </c>
      <c r="B1066">
        <v>28</v>
      </c>
      <c r="C1066" t="s">
        <v>11</v>
      </c>
      <c r="D1066" t="s">
        <v>12</v>
      </c>
      <c r="E1066" t="s">
        <v>22</v>
      </c>
      <c r="F1066" s="38">
        <v>3516</v>
      </c>
      <c r="G1066" t="s">
        <v>14</v>
      </c>
      <c r="H1066" t="s">
        <v>21</v>
      </c>
      <c r="I1066" s="38">
        <v>3574.8</v>
      </c>
      <c r="J1066">
        <v>24</v>
      </c>
      <c r="K1066">
        <v>0</v>
      </c>
    </row>
    <row r="1067" hidden="1" spans="1:11">
      <c r="A1067">
        <v>1066</v>
      </c>
      <c r="B1067">
        <v>33</v>
      </c>
      <c r="C1067" t="s">
        <v>11</v>
      </c>
      <c r="D1067" t="s">
        <v>24</v>
      </c>
      <c r="E1067" t="s">
        <v>13</v>
      </c>
      <c r="F1067" s="38">
        <v>2739</v>
      </c>
      <c r="G1067" t="s">
        <v>14</v>
      </c>
      <c r="H1067" t="s">
        <v>15</v>
      </c>
      <c r="I1067" s="38">
        <v>1401.4</v>
      </c>
      <c r="J1067">
        <v>12</v>
      </c>
      <c r="K1067">
        <v>1</v>
      </c>
    </row>
    <row r="1068" hidden="1" spans="1:11">
      <c r="A1068">
        <v>1067</v>
      </c>
      <c r="B1068">
        <v>37</v>
      </c>
      <c r="C1068" t="s">
        <v>16</v>
      </c>
      <c r="D1068" t="s">
        <v>12</v>
      </c>
      <c r="E1068" t="s">
        <v>13</v>
      </c>
      <c r="F1068" s="38">
        <v>5768</v>
      </c>
      <c r="G1068" t="s">
        <v>14</v>
      </c>
      <c r="H1068" t="s">
        <v>25</v>
      </c>
      <c r="I1068" s="38">
        <v>2173.5</v>
      </c>
      <c r="J1068">
        <v>7</v>
      </c>
      <c r="K1068">
        <v>0</v>
      </c>
    </row>
    <row r="1069" spans="1:11">
      <c r="A1069">
        <v>1068</v>
      </c>
      <c r="B1069">
        <v>44</v>
      </c>
      <c r="C1069" t="s">
        <v>16</v>
      </c>
      <c r="D1069" t="s">
        <v>24</v>
      </c>
      <c r="E1069" t="s">
        <v>13</v>
      </c>
      <c r="F1069" s="38">
        <v>6037</v>
      </c>
      <c r="G1069" t="s">
        <v>20</v>
      </c>
      <c r="H1069" t="s">
        <v>15</v>
      </c>
      <c r="I1069" s="38">
        <v>6417</v>
      </c>
      <c r="J1069">
        <v>12</v>
      </c>
      <c r="K1069">
        <v>0</v>
      </c>
    </row>
    <row r="1070" hidden="1" spans="1:11">
      <c r="A1070">
        <v>1069</v>
      </c>
      <c r="B1070">
        <v>36</v>
      </c>
      <c r="C1070" t="s">
        <v>11</v>
      </c>
      <c r="D1070" t="s">
        <v>12</v>
      </c>
      <c r="E1070" t="s">
        <v>13</v>
      </c>
      <c r="F1070" s="38">
        <v>2975</v>
      </c>
      <c r="G1070" t="s">
        <v>14</v>
      </c>
      <c r="H1070" t="s">
        <v>25</v>
      </c>
      <c r="I1070" s="38">
        <v>2919.6</v>
      </c>
      <c r="J1070">
        <v>18</v>
      </c>
      <c r="K1070">
        <v>0</v>
      </c>
    </row>
    <row r="1071" hidden="1" spans="1:11">
      <c r="A1071">
        <v>1070</v>
      </c>
      <c r="B1071">
        <v>23</v>
      </c>
      <c r="C1071" t="s">
        <v>11</v>
      </c>
      <c r="D1071" t="s">
        <v>17</v>
      </c>
      <c r="E1071" t="s">
        <v>13</v>
      </c>
      <c r="F1071" s="38">
        <v>1385</v>
      </c>
      <c r="G1071" t="s">
        <v>14</v>
      </c>
      <c r="H1071" t="s">
        <v>19</v>
      </c>
      <c r="I1071" s="38">
        <v>15863.1</v>
      </c>
      <c r="J1071">
        <v>48</v>
      </c>
      <c r="K1071">
        <v>1</v>
      </c>
    </row>
    <row r="1072" hidden="1" spans="1:11">
      <c r="A1072">
        <v>1071</v>
      </c>
      <c r="B1072">
        <v>30</v>
      </c>
      <c r="C1072" t="s">
        <v>16</v>
      </c>
      <c r="D1072" t="s">
        <v>24</v>
      </c>
      <c r="E1072" t="s">
        <v>13</v>
      </c>
      <c r="F1072" s="38">
        <v>4262</v>
      </c>
      <c r="G1072" t="s">
        <v>20</v>
      </c>
      <c r="H1072" t="s">
        <v>19</v>
      </c>
      <c r="I1072" s="38">
        <v>6676.2</v>
      </c>
      <c r="J1072">
        <v>60</v>
      </c>
      <c r="K1072">
        <v>0</v>
      </c>
    </row>
    <row r="1073" hidden="1" spans="1:11">
      <c r="A1073">
        <v>1072</v>
      </c>
      <c r="B1073">
        <v>41</v>
      </c>
      <c r="C1073" t="s">
        <v>16</v>
      </c>
      <c r="D1073" t="s">
        <v>12</v>
      </c>
      <c r="E1073" t="s">
        <v>13</v>
      </c>
      <c r="F1073" s="38">
        <v>4104</v>
      </c>
      <c r="G1073" t="s">
        <v>20</v>
      </c>
      <c r="H1073" t="s">
        <v>21</v>
      </c>
      <c r="I1073" s="38">
        <v>6668.1</v>
      </c>
      <c r="J1073">
        <v>36</v>
      </c>
      <c r="K1073">
        <v>0</v>
      </c>
    </row>
    <row r="1074" hidden="1" spans="1:11">
      <c r="A1074">
        <v>1073</v>
      </c>
      <c r="B1074">
        <v>30</v>
      </c>
      <c r="C1074" t="s">
        <v>16</v>
      </c>
      <c r="D1074" t="s">
        <v>24</v>
      </c>
      <c r="E1074" t="s">
        <v>13</v>
      </c>
      <c r="F1074" s="38">
        <v>3935</v>
      </c>
      <c r="G1074" t="s">
        <v>14</v>
      </c>
      <c r="H1074" t="s">
        <v>21</v>
      </c>
      <c r="I1074" s="38">
        <v>843.3</v>
      </c>
      <c r="J1074">
        <v>24</v>
      </c>
      <c r="K1074">
        <v>0</v>
      </c>
    </row>
    <row r="1075" hidden="1" spans="1:11">
      <c r="A1075">
        <v>1074</v>
      </c>
      <c r="B1075">
        <v>54</v>
      </c>
      <c r="C1075" t="s">
        <v>16</v>
      </c>
      <c r="D1075" t="s">
        <v>24</v>
      </c>
      <c r="E1075" t="s">
        <v>13</v>
      </c>
      <c r="F1075" s="38">
        <v>4398</v>
      </c>
      <c r="G1075" t="s">
        <v>20</v>
      </c>
      <c r="H1075" t="s">
        <v>19</v>
      </c>
      <c r="I1075" s="38">
        <v>3290.4</v>
      </c>
      <c r="J1075">
        <v>30</v>
      </c>
      <c r="K1075">
        <v>0</v>
      </c>
    </row>
    <row r="1076" hidden="1" spans="1:11">
      <c r="A1076">
        <v>1075</v>
      </c>
      <c r="B1076">
        <v>20</v>
      </c>
      <c r="C1076" t="s">
        <v>16</v>
      </c>
      <c r="D1076" t="s">
        <v>12</v>
      </c>
      <c r="E1076" t="s">
        <v>13</v>
      </c>
      <c r="F1076" s="38">
        <v>1515</v>
      </c>
      <c r="G1076" t="s">
        <v>14</v>
      </c>
      <c r="H1076" t="s">
        <v>15</v>
      </c>
      <c r="I1076" s="38">
        <v>2708.2</v>
      </c>
      <c r="J1076">
        <v>18</v>
      </c>
      <c r="K1076">
        <v>1</v>
      </c>
    </row>
    <row r="1077" hidden="1" spans="1:11">
      <c r="A1077">
        <v>1076</v>
      </c>
      <c r="B1077">
        <v>63</v>
      </c>
      <c r="C1077" t="s">
        <v>11</v>
      </c>
      <c r="D1077" t="s">
        <v>17</v>
      </c>
      <c r="E1077" t="s">
        <v>22</v>
      </c>
      <c r="F1077" s="38">
        <v>4585</v>
      </c>
      <c r="G1077" t="s">
        <v>26</v>
      </c>
      <c r="H1077" t="s">
        <v>15</v>
      </c>
      <c r="I1077" s="38">
        <v>1107.9</v>
      </c>
      <c r="J1077">
        <v>24</v>
      </c>
      <c r="K1077">
        <v>0</v>
      </c>
    </row>
    <row r="1078" hidden="1" spans="1:11">
      <c r="A1078">
        <v>1077</v>
      </c>
      <c r="B1078">
        <v>59</v>
      </c>
      <c r="C1078" t="s">
        <v>11</v>
      </c>
      <c r="D1078" t="s">
        <v>17</v>
      </c>
      <c r="E1078" t="s">
        <v>13</v>
      </c>
      <c r="F1078" s="38">
        <v>3970</v>
      </c>
      <c r="G1078" t="s">
        <v>14</v>
      </c>
      <c r="H1078" t="s">
        <v>21</v>
      </c>
      <c r="I1078" s="38">
        <v>604.8</v>
      </c>
      <c r="J1078">
        <v>6</v>
      </c>
      <c r="K1078">
        <v>0</v>
      </c>
    </row>
    <row r="1079" hidden="1" spans="1:11">
      <c r="A1079">
        <v>1078</v>
      </c>
      <c r="B1079">
        <v>22</v>
      </c>
      <c r="C1079" t="s">
        <v>11</v>
      </c>
      <c r="D1079" t="s">
        <v>24</v>
      </c>
      <c r="E1079" t="s">
        <v>13</v>
      </c>
      <c r="F1079" s="38">
        <v>3922</v>
      </c>
      <c r="G1079" t="s">
        <v>14</v>
      </c>
      <c r="H1079" t="s">
        <v>15</v>
      </c>
      <c r="I1079" s="38">
        <v>1350.8</v>
      </c>
      <c r="J1079">
        <v>12</v>
      </c>
      <c r="K1079">
        <v>1</v>
      </c>
    </row>
    <row r="1080" hidden="1" spans="1:11">
      <c r="A1080">
        <v>1079</v>
      </c>
      <c r="B1080">
        <v>33</v>
      </c>
      <c r="C1080" t="s">
        <v>11</v>
      </c>
      <c r="D1080" t="s">
        <v>12</v>
      </c>
      <c r="E1080" t="s">
        <v>13</v>
      </c>
      <c r="F1080" s="38">
        <v>4893</v>
      </c>
      <c r="G1080" t="s">
        <v>20</v>
      </c>
      <c r="H1080" t="s">
        <v>15</v>
      </c>
      <c r="I1080" s="38">
        <v>6948.9</v>
      </c>
      <c r="J1080">
        <v>24</v>
      </c>
      <c r="K1080">
        <v>0</v>
      </c>
    </row>
    <row r="1081" hidden="1" spans="1:11">
      <c r="A1081">
        <v>1080</v>
      </c>
      <c r="B1081">
        <v>61</v>
      </c>
      <c r="C1081" t="s">
        <v>16</v>
      </c>
      <c r="D1081" t="s">
        <v>17</v>
      </c>
      <c r="E1081" t="s">
        <v>13</v>
      </c>
      <c r="F1081" s="38">
        <v>3617</v>
      </c>
      <c r="G1081" t="s">
        <v>14</v>
      </c>
      <c r="H1081" t="s">
        <v>15</v>
      </c>
      <c r="I1081" s="38">
        <v>16385.6</v>
      </c>
      <c r="J1081">
        <v>6</v>
      </c>
      <c r="K1081">
        <v>1</v>
      </c>
    </row>
    <row r="1082" hidden="1" spans="1:11">
      <c r="A1082">
        <v>1081</v>
      </c>
      <c r="B1082">
        <v>53</v>
      </c>
      <c r="C1082" t="s">
        <v>16</v>
      </c>
      <c r="D1082" t="s">
        <v>12</v>
      </c>
      <c r="E1082" t="s">
        <v>13</v>
      </c>
      <c r="F1082" s="38">
        <v>5089</v>
      </c>
      <c r="G1082" t="s">
        <v>18</v>
      </c>
      <c r="H1082" t="s">
        <v>15</v>
      </c>
      <c r="I1082" s="38">
        <v>1159.2</v>
      </c>
      <c r="J1082">
        <v>9</v>
      </c>
      <c r="K1082">
        <v>0</v>
      </c>
    </row>
    <row r="1083" hidden="1" spans="1:11">
      <c r="A1083">
        <v>1082</v>
      </c>
      <c r="B1083">
        <v>59</v>
      </c>
      <c r="C1083" t="s">
        <v>11</v>
      </c>
      <c r="D1083" t="s">
        <v>12</v>
      </c>
      <c r="E1083" t="s">
        <v>22</v>
      </c>
      <c r="F1083" s="38">
        <v>3841</v>
      </c>
      <c r="G1083" t="s">
        <v>14</v>
      </c>
      <c r="H1083" t="s">
        <v>25</v>
      </c>
      <c r="I1083" s="38">
        <v>6688.8</v>
      </c>
      <c r="J1083">
        <v>36</v>
      </c>
      <c r="K1083">
        <v>0</v>
      </c>
    </row>
    <row r="1084" hidden="1" spans="1:11">
      <c r="A1084">
        <v>1083</v>
      </c>
      <c r="B1084">
        <v>44</v>
      </c>
      <c r="C1084" t="s">
        <v>16</v>
      </c>
      <c r="D1084" t="s">
        <v>17</v>
      </c>
      <c r="E1084" t="s">
        <v>13</v>
      </c>
      <c r="F1084" s="38">
        <v>2668</v>
      </c>
      <c r="G1084" t="s">
        <v>14</v>
      </c>
      <c r="H1084" t="s">
        <v>25</v>
      </c>
      <c r="I1084" s="38">
        <v>6636.6</v>
      </c>
      <c r="J1084">
        <v>18</v>
      </c>
      <c r="K1084">
        <v>0</v>
      </c>
    </row>
    <row r="1085" hidden="1" spans="1:11">
      <c r="A1085">
        <v>1084</v>
      </c>
      <c r="B1085">
        <v>71</v>
      </c>
      <c r="C1085" t="s">
        <v>11</v>
      </c>
      <c r="D1085" t="s">
        <v>12</v>
      </c>
      <c r="E1085" t="s">
        <v>13</v>
      </c>
      <c r="F1085" s="38">
        <v>3771</v>
      </c>
      <c r="G1085" t="s">
        <v>14</v>
      </c>
      <c r="H1085" t="s">
        <v>25</v>
      </c>
      <c r="I1085" s="38">
        <v>1355.4</v>
      </c>
      <c r="J1085">
        <v>6</v>
      </c>
      <c r="K1085">
        <v>0</v>
      </c>
    </row>
    <row r="1086" hidden="1" spans="1:11">
      <c r="A1086">
        <v>1085</v>
      </c>
      <c r="B1086">
        <v>47</v>
      </c>
      <c r="C1086" t="s">
        <v>11</v>
      </c>
      <c r="D1086" t="s">
        <v>24</v>
      </c>
      <c r="E1086" t="s">
        <v>13</v>
      </c>
      <c r="F1086" s="38">
        <v>4247</v>
      </c>
      <c r="G1086" t="s">
        <v>26</v>
      </c>
      <c r="H1086" t="s">
        <v>21</v>
      </c>
      <c r="I1086" s="38">
        <v>1364.4</v>
      </c>
      <c r="J1086">
        <v>24</v>
      </c>
      <c r="K1086">
        <v>0</v>
      </c>
    </row>
    <row r="1087" hidden="1" spans="1:11">
      <c r="A1087">
        <v>1086</v>
      </c>
      <c r="B1087">
        <v>32</v>
      </c>
      <c r="C1087" t="s">
        <v>16</v>
      </c>
      <c r="D1087" t="s">
        <v>12</v>
      </c>
      <c r="E1087" t="s">
        <v>22</v>
      </c>
      <c r="F1087" s="38">
        <v>2392</v>
      </c>
      <c r="G1087" t="s">
        <v>14</v>
      </c>
      <c r="H1087" t="s">
        <v>15</v>
      </c>
      <c r="I1087" s="38">
        <v>8026.7</v>
      </c>
      <c r="J1087">
        <v>60</v>
      </c>
      <c r="K1087">
        <v>1</v>
      </c>
    </row>
    <row r="1088" hidden="1" spans="1:11">
      <c r="A1088">
        <v>1087</v>
      </c>
      <c r="B1088">
        <v>28</v>
      </c>
      <c r="C1088" t="s">
        <v>11</v>
      </c>
      <c r="D1088" t="s">
        <v>12</v>
      </c>
      <c r="E1088" t="s">
        <v>13</v>
      </c>
      <c r="F1088" s="38">
        <v>3130</v>
      </c>
      <c r="G1088" t="s">
        <v>14</v>
      </c>
      <c r="H1088" t="s">
        <v>15</v>
      </c>
      <c r="I1088" s="38">
        <v>5298.7</v>
      </c>
      <c r="J1088">
        <v>24</v>
      </c>
      <c r="K1088">
        <v>1</v>
      </c>
    </row>
    <row r="1089" hidden="1" spans="1:11">
      <c r="A1089">
        <v>1088</v>
      </c>
      <c r="B1089">
        <v>32</v>
      </c>
      <c r="C1089" t="s">
        <v>11</v>
      </c>
      <c r="D1089" t="s">
        <v>17</v>
      </c>
      <c r="E1089" t="s">
        <v>13</v>
      </c>
      <c r="F1089" s="38">
        <v>1758</v>
      </c>
      <c r="G1089" t="s">
        <v>20</v>
      </c>
      <c r="H1089" t="s">
        <v>19</v>
      </c>
      <c r="I1089" s="38">
        <v>3591</v>
      </c>
      <c r="J1089">
        <v>36</v>
      </c>
      <c r="K1089">
        <v>0</v>
      </c>
    </row>
    <row r="1090" hidden="1" spans="1:11">
      <c r="A1090">
        <v>1089</v>
      </c>
      <c r="B1090">
        <v>49</v>
      </c>
      <c r="C1090" t="s">
        <v>16</v>
      </c>
      <c r="D1090" t="s">
        <v>17</v>
      </c>
      <c r="E1090" t="s">
        <v>23</v>
      </c>
      <c r="F1090" s="38">
        <v>1333</v>
      </c>
      <c r="G1090" t="s">
        <v>14</v>
      </c>
      <c r="H1090" t="s">
        <v>15</v>
      </c>
      <c r="I1090" s="38">
        <v>17303</v>
      </c>
      <c r="J1090">
        <v>12</v>
      </c>
      <c r="K1090">
        <v>1</v>
      </c>
    </row>
    <row r="1091" hidden="1" spans="1:11">
      <c r="A1091">
        <v>1090</v>
      </c>
      <c r="B1091">
        <v>67</v>
      </c>
      <c r="C1091" t="s">
        <v>11</v>
      </c>
      <c r="D1091" t="s">
        <v>17</v>
      </c>
      <c r="E1091" t="s">
        <v>23</v>
      </c>
      <c r="F1091" s="38">
        <v>3570</v>
      </c>
      <c r="G1091" t="s">
        <v>14</v>
      </c>
      <c r="H1091" t="s">
        <v>15</v>
      </c>
      <c r="I1091" s="38">
        <v>5641.9</v>
      </c>
      <c r="J1091">
        <v>9</v>
      </c>
      <c r="K1091">
        <v>1</v>
      </c>
    </row>
    <row r="1092" hidden="1" spans="1:11">
      <c r="A1092">
        <v>1091</v>
      </c>
      <c r="B1092">
        <v>25</v>
      </c>
      <c r="C1092" t="s">
        <v>16</v>
      </c>
      <c r="D1092" t="s">
        <v>12</v>
      </c>
      <c r="E1092" t="s">
        <v>22</v>
      </c>
      <c r="F1092" s="38">
        <v>5949</v>
      </c>
      <c r="G1092" t="s">
        <v>26</v>
      </c>
      <c r="H1092" t="s">
        <v>21</v>
      </c>
      <c r="I1092" s="38">
        <v>3031.2</v>
      </c>
      <c r="J1092">
        <v>15</v>
      </c>
      <c r="K1092">
        <v>0</v>
      </c>
    </row>
    <row r="1093" hidden="1" spans="1:11">
      <c r="A1093">
        <v>1092</v>
      </c>
      <c r="B1093">
        <v>77</v>
      </c>
      <c r="C1093" t="s">
        <v>16</v>
      </c>
      <c r="D1093" t="s">
        <v>17</v>
      </c>
      <c r="E1093" t="s">
        <v>23</v>
      </c>
      <c r="F1093" s="38">
        <v>2000</v>
      </c>
      <c r="G1093" t="s">
        <v>14</v>
      </c>
      <c r="H1093" t="s">
        <v>25</v>
      </c>
      <c r="I1093" s="38">
        <v>6577.2</v>
      </c>
      <c r="J1093">
        <v>10</v>
      </c>
      <c r="K1093">
        <v>0</v>
      </c>
    </row>
    <row r="1094" hidden="1" spans="1:11">
      <c r="A1094">
        <v>1093</v>
      </c>
      <c r="B1094">
        <v>28</v>
      </c>
      <c r="C1094" t="s">
        <v>16</v>
      </c>
      <c r="D1094" t="s">
        <v>12</v>
      </c>
      <c r="E1094" t="s">
        <v>13</v>
      </c>
      <c r="F1094" s="38">
        <v>5631</v>
      </c>
      <c r="G1094" t="s">
        <v>14</v>
      </c>
      <c r="H1094" t="s">
        <v>21</v>
      </c>
      <c r="I1094" s="38">
        <v>1132.2</v>
      </c>
      <c r="J1094">
        <v>24</v>
      </c>
      <c r="K1094">
        <v>0</v>
      </c>
    </row>
    <row r="1095" hidden="1" spans="1:11">
      <c r="A1095">
        <v>1094</v>
      </c>
      <c r="B1095">
        <v>54</v>
      </c>
      <c r="C1095" t="s">
        <v>16</v>
      </c>
      <c r="D1095" t="s">
        <v>12</v>
      </c>
      <c r="E1095" t="s">
        <v>13</v>
      </c>
      <c r="F1095" s="38">
        <v>5220</v>
      </c>
      <c r="G1095" t="s">
        <v>14</v>
      </c>
      <c r="H1095" t="s">
        <v>25</v>
      </c>
      <c r="I1095" s="38">
        <v>4235.4</v>
      </c>
      <c r="J1095">
        <v>21</v>
      </c>
      <c r="K1095">
        <v>0</v>
      </c>
    </row>
    <row r="1096" hidden="1" spans="1:11">
      <c r="A1096">
        <v>1095</v>
      </c>
      <c r="B1096">
        <v>23</v>
      </c>
      <c r="C1096" t="s">
        <v>11</v>
      </c>
      <c r="D1096" t="s">
        <v>12</v>
      </c>
      <c r="E1096" t="s">
        <v>22</v>
      </c>
      <c r="F1096" s="38">
        <v>3693</v>
      </c>
      <c r="G1096" t="s">
        <v>14</v>
      </c>
      <c r="H1096" t="s">
        <v>25</v>
      </c>
      <c r="I1096" s="38">
        <v>3265.9</v>
      </c>
      <c r="J1096">
        <v>12</v>
      </c>
      <c r="K1096">
        <v>1</v>
      </c>
    </row>
    <row r="1097" hidden="1" spans="1:11">
      <c r="A1097">
        <v>1096</v>
      </c>
      <c r="B1097">
        <v>40</v>
      </c>
      <c r="C1097" t="s">
        <v>16</v>
      </c>
      <c r="D1097" t="s">
        <v>24</v>
      </c>
      <c r="E1097" t="s">
        <v>13</v>
      </c>
      <c r="F1097" s="38">
        <v>3274</v>
      </c>
      <c r="G1097" t="s">
        <v>14</v>
      </c>
      <c r="H1097" t="s">
        <v>15</v>
      </c>
      <c r="I1097" s="38">
        <v>1236.6</v>
      </c>
      <c r="J1097">
        <v>6</v>
      </c>
      <c r="K1097">
        <v>0</v>
      </c>
    </row>
    <row r="1098" hidden="1" spans="1:11">
      <c r="A1098">
        <v>1097</v>
      </c>
      <c r="B1098">
        <v>32</v>
      </c>
      <c r="C1098" t="s">
        <v>16</v>
      </c>
      <c r="D1098" t="s">
        <v>12</v>
      </c>
      <c r="E1098" t="s">
        <v>13</v>
      </c>
      <c r="F1098" s="38">
        <v>2041</v>
      </c>
      <c r="G1098" t="s">
        <v>14</v>
      </c>
      <c r="H1098" t="s">
        <v>21</v>
      </c>
      <c r="I1098" s="38">
        <v>4581.5</v>
      </c>
      <c r="J1098">
        <v>18</v>
      </c>
      <c r="K1098">
        <v>1</v>
      </c>
    </row>
    <row r="1099" hidden="1" spans="1:11">
      <c r="A1099">
        <v>1098</v>
      </c>
      <c r="B1099">
        <v>40</v>
      </c>
      <c r="C1099" t="s">
        <v>16</v>
      </c>
      <c r="D1099" t="s">
        <v>12</v>
      </c>
      <c r="E1099" t="s">
        <v>13</v>
      </c>
      <c r="F1099" s="38">
        <v>2295</v>
      </c>
      <c r="G1099" t="s">
        <v>20</v>
      </c>
      <c r="H1099" t="s">
        <v>19</v>
      </c>
      <c r="I1099" s="38">
        <v>1962.9</v>
      </c>
      <c r="J1099">
        <v>30</v>
      </c>
      <c r="K1099">
        <v>0</v>
      </c>
    </row>
    <row r="1100" spans="1:11">
      <c r="A1100">
        <v>1099</v>
      </c>
      <c r="B1100">
        <v>25</v>
      </c>
      <c r="C1100" t="s">
        <v>11</v>
      </c>
      <c r="D1100" t="s">
        <v>17</v>
      </c>
      <c r="E1100" t="s">
        <v>22</v>
      </c>
      <c r="F1100" s="38">
        <v>6720</v>
      </c>
      <c r="G1100" t="s">
        <v>26</v>
      </c>
      <c r="H1100" t="s">
        <v>15</v>
      </c>
      <c r="I1100" s="38">
        <v>1216.8</v>
      </c>
      <c r="J1100">
        <v>6</v>
      </c>
      <c r="K1100">
        <v>0</v>
      </c>
    </row>
    <row r="1101" hidden="1" spans="1:11">
      <c r="A1101">
        <v>1100</v>
      </c>
      <c r="B1101">
        <v>23</v>
      </c>
      <c r="C1101" t="s">
        <v>16</v>
      </c>
      <c r="D1101" t="s">
        <v>12</v>
      </c>
      <c r="E1101" t="s">
        <v>22</v>
      </c>
      <c r="F1101" s="38">
        <v>2766</v>
      </c>
      <c r="G1101" t="s">
        <v>18</v>
      </c>
      <c r="H1101" t="s">
        <v>25</v>
      </c>
      <c r="I1101" s="38">
        <v>1390.4</v>
      </c>
      <c r="J1101">
        <v>15</v>
      </c>
      <c r="K1101">
        <v>1</v>
      </c>
    </row>
    <row r="1102" hidden="1" spans="1:11">
      <c r="A1102">
        <v>1101</v>
      </c>
      <c r="B1102">
        <v>31</v>
      </c>
      <c r="C1102" t="s">
        <v>16</v>
      </c>
      <c r="D1102" t="s">
        <v>17</v>
      </c>
      <c r="E1102" t="s">
        <v>13</v>
      </c>
      <c r="F1102" s="38">
        <v>2416</v>
      </c>
      <c r="G1102" t="s">
        <v>14</v>
      </c>
      <c r="H1102" t="s">
        <v>19</v>
      </c>
      <c r="I1102" s="38">
        <v>3150.4</v>
      </c>
      <c r="J1102">
        <v>18</v>
      </c>
      <c r="K1102">
        <v>1</v>
      </c>
    </row>
    <row r="1103" hidden="1" spans="1:11">
      <c r="A1103">
        <v>1102</v>
      </c>
      <c r="B1103">
        <v>37</v>
      </c>
      <c r="C1103" t="s">
        <v>16</v>
      </c>
      <c r="D1103" t="s">
        <v>12</v>
      </c>
      <c r="E1103" t="s">
        <v>23</v>
      </c>
      <c r="F1103" s="38">
        <v>4714</v>
      </c>
      <c r="G1103" t="s">
        <v>20</v>
      </c>
      <c r="H1103" t="s">
        <v>21</v>
      </c>
      <c r="I1103" s="38">
        <v>5874.3</v>
      </c>
      <c r="J1103">
        <v>60</v>
      </c>
      <c r="K1103">
        <v>0</v>
      </c>
    </row>
    <row r="1104" hidden="1" spans="1:11">
      <c r="A1104">
        <v>1103</v>
      </c>
      <c r="B1104">
        <v>41</v>
      </c>
      <c r="C1104" t="s">
        <v>16</v>
      </c>
      <c r="D1104" t="s">
        <v>17</v>
      </c>
      <c r="E1104" t="s">
        <v>13</v>
      </c>
      <c r="F1104" s="38">
        <v>3902</v>
      </c>
      <c r="G1104" t="s">
        <v>14</v>
      </c>
      <c r="H1104" t="s">
        <v>15</v>
      </c>
      <c r="I1104" s="38">
        <v>9875.8</v>
      </c>
      <c r="J1104">
        <v>14</v>
      </c>
      <c r="K1104">
        <v>1</v>
      </c>
    </row>
    <row r="1105" hidden="1" spans="1:11">
      <c r="A1105">
        <v>1104</v>
      </c>
      <c r="B1105">
        <v>69</v>
      </c>
      <c r="C1105" t="s">
        <v>16</v>
      </c>
      <c r="D1105" t="s">
        <v>17</v>
      </c>
      <c r="E1105" t="s">
        <v>23</v>
      </c>
      <c r="F1105" s="38">
        <v>5906</v>
      </c>
      <c r="G1105" t="s">
        <v>20</v>
      </c>
      <c r="H1105" t="s">
        <v>21</v>
      </c>
      <c r="I1105" s="38">
        <v>12380.4</v>
      </c>
      <c r="J1105">
        <v>60</v>
      </c>
      <c r="K1105">
        <v>0</v>
      </c>
    </row>
    <row r="1106" hidden="1" spans="1:11">
      <c r="A1106">
        <v>1105</v>
      </c>
      <c r="B1106">
        <v>25</v>
      </c>
      <c r="C1106" t="s">
        <v>11</v>
      </c>
      <c r="D1106" t="s">
        <v>17</v>
      </c>
      <c r="E1106" t="s">
        <v>13</v>
      </c>
      <c r="F1106" s="38">
        <v>3300</v>
      </c>
      <c r="G1106" t="s">
        <v>20</v>
      </c>
      <c r="H1106" t="s">
        <v>25</v>
      </c>
      <c r="I1106" s="38">
        <v>2505.8</v>
      </c>
      <c r="J1106">
        <v>18</v>
      </c>
      <c r="K1106">
        <v>1</v>
      </c>
    </row>
    <row r="1107" hidden="1" spans="1:11">
      <c r="A1107">
        <v>1106</v>
      </c>
      <c r="B1107">
        <v>31</v>
      </c>
      <c r="C1107" t="s">
        <v>16</v>
      </c>
      <c r="D1107" t="s">
        <v>12</v>
      </c>
      <c r="E1107" t="s">
        <v>13</v>
      </c>
      <c r="F1107" s="38">
        <v>2308</v>
      </c>
      <c r="G1107" t="s">
        <v>14</v>
      </c>
      <c r="H1107" t="s">
        <v>25</v>
      </c>
      <c r="I1107" s="38">
        <v>961.2</v>
      </c>
      <c r="J1107">
        <v>6</v>
      </c>
      <c r="K1107">
        <v>0</v>
      </c>
    </row>
    <row r="1108" hidden="1" spans="1:11">
      <c r="A1108">
        <v>1107</v>
      </c>
      <c r="B1108">
        <v>57</v>
      </c>
      <c r="C1108" t="s">
        <v>16</v>
      </c>
      <c r="D1108" t="s">
        <v>12</v>
      </c>
      <c r="E1108" t="s">
        <v>13</v>
      </c>
      <c r="F1108" s="38">
        <v>4399</v>
      </c>
      <c r="G1108" t="s">
        <v>26</v>
      </c>
      <c r="H1108" t="s">
        <v>15</v>
      </c>
      <c r="I1108" s="38">
        <v>304.2</v>
      </c>
      <c r="J1108">
        <v>6</v>
      </c>
      <c r="K1108">
        <v>0</v>
      </c>
    </row>
    <row r="1109" hidden="1" spans="1:11">
      <c r="A1109">
        <v>1108</v>
      </c>
      <c r="B1109">
        <v>73</v>
      </c>
      <c r="C1109" t="s">
        <v>16</v>
      </c>
      <c r="D1109" t="s">
        <v>17</v>
      </c>
      <c r="E1109" t="s">
        <v>23</v>
      </c>
      <c r="F1109" s="38">
        <v>5365</v>
      </c>
      <c r="G1109" t="s">
        <v>26</v>
      </c>
      <c r="H1109" t="s">
        <v>19</v>
      </c>
      <c r="I1109" s="38">
        <v>1332</v>
      </c>
      <c r="J1109">
        <v>12</v>
      </c>
      <c r="K1109">
        <v>0</v>
      </c>
    </row>
    <row r="1110" hidden="1" spans="1:11">
      <c r="A1110">
        <v>1109</v>
      </c>
      <c r="B1110">
        <v>23</v>
      </c>
      <c r="C1110" t="s">
        <v>11</v>
      </c>
      <c r="D1110" t="s">
        <v>12</v>
      </c>
      <c r="E1110" t="s">
        <v>22</v>
      </c>
      <c r="F1110" s="38">
        <v>3874</v>
      </c>
      <c r="G1110" t="s">
        <v>14</v>
      </c>
      <c r="H1110" t="s">
        <v>15</v>
      </c>
      <c r="I1110" s="38">
        <v>2070.2</v>
      </c>
      <c r="J1110">
        <v>18</v>
      </c>
      <c r="K1110">
        <v>1</v>
      </c>
    </row>
    <row r="1111" hidden="1" spans="1:11">
      <c r="A1111">
        <v>1110</v>
      </c>
      <c r="B1111">
        <v>44</v>
      </c>
      <c r="C1111" t="s">
        <v>16</v>
      </c>
      <c r="D1111" t="s">
        <v>12</v>
      </c>
      <c r="E1111" t="s">
        <v>13</v>
      </c>
      <c r="F1111" s="38">
        <v>2063</v>
      </c>
      <c r="G1111" t="s">
        <v>14</v>
      </c>
      <c r="H1111" t="s">
        <v>21</v>
      </c>
      <c r="I1111" s="38">
        <v>1426.5</v>
      </c>
      <c r="J1111">
        <v>24</v>
      </c>
      <c r="K1111">
        <v>0</v>
      </c>
    </row>
    <row r="1112" hidden="1" spans="1:11">
      <c r="A1112">
        <v>1111</v>
      </c>
      <c r="B1112">
        <v>45</v>
      </c>
      <c r="C1112" t="s">
        <v>11</v>
      </c>
      <c r="D1112" t="s">
        <v>12</v>
      </c>
      <c r="E1112" t="s">
        <v>13</v>
      </c>
      <c r="F1112" s="38">
        <v>1467</v>
      </c>
      <c r="G1112" t="s">
        <v>14</v>
      </c>
      <c r="H1112" t="s">
        <v>15</v>
      </c>
      <c r="I1112" s="38">
        <v>5822.3</v>
      </c>
      <c r="J1112">
        <v>27</v>
      </c>
      <c r="K1112">
        <v>1</v>
      </c>
    </row>
    <row r="1113" hidden="1" spans="1:11">
      <c r="A1113">
        <v>1112</v>
      </c>
      <c r="B1113">
        <v>22</v>
      </c>
      <c r="C1113" t="s">
        <v>11</v>
      </c>
      <c r="D1113" t="s">
        <v>12</v>
      </c>
      <c r="E1113" t="s">
        <v>13</v>
      </c>
      <c r="F1113" s="38">
        <v>4097</v>
      </c>
      <c r="G1113" t="s">
        <v>14</v>
      </c>
      <c r="H1113" t="s">
        <v>15</v>
      </c>
      <c r="I1113" s="38">
        <v>3509</v>
      </c>
      <c r="J1113">
        <v>18</v>
      </c>
      <c r="K1113">
        <v>1</v>
      </c>
    </row>
    <row r="1114" hidden="1" spans="1:11">
      <c r="A1114">
        <v>1113</v>
      </c>
      <c r="B1114">
        <v>25</v>
      </c>
      <c r="C1114" t="s">
        <v>11</v>
      </c>
      <c r="D1114" t="s">
        <v>24</v>
      </c>
      <c r="E1114" t="s">
        <v>13</v>
      </c>
      <c r="F1114" s="38">
        <v>2231</v>
      </c>
      <c r="G1114" t="s">
        <v>14</v>
      </c>
      <c r="H1114" t="s">
        <v>25</v>
      </c>
      <c r="I1114" s="38">
        <v>1890.9</v>
      </c>
      <c r="J1114">
        <v>13</v>
      </c>
      <c r="K1114">
        <v>0</v>
      </c>
    </row>
    <row r="1115" hidden="1" spans="1:11">
      <c r="A1115">
        <v>1114</v>
      </c>
      <c r="B1115">
        <v>30</v>
      </c>
      <c r="C1115" t="s">
        <v>11</v>
      </c>
      <c r="D1115" t="s">
        <v>12</v>
      </c>
      <c r="E1115" t="s">
        <v>13</v>
      </c>
      <c r="F1115" s="38">
        <v>2776</v>
      </c>
      <c r="G1115" t="s">
        <v>18</v>
      </c>
      <c r="H1115" t="s">
        <v>21</v>
      </c>
      <c r="I1115" s="38">
        <v>1113.3</v>
      </c>
      <c r="J1115">
        <v>6</v>
      </c>
      <c r="K1115">
        <v>0</v>
      </c>
    </row>
    <row r="1116" hidden="1" spans="1:11">
      <c r="A1116">
        <v>1115</v>
      </c>
      <c r="B1116">
        <v>68</v>
      </c>
      <c r="C1116" t="s">
        <v>11</v>
      </c>
      <c r="D1116" t="s">
        <v>12</v>
      </c>
      <c r="E1116" t="s">
        <v>23</v>
      </c>
      <c r="F1116" s="38">
        <v>4102</v>
      </c>
      <c r="G1116" t="s">
        <v>14</v>
      </c>
      <c r="H1116" t="s">
        <v>21</v>
      </c>
      <c r="I1116" s="38">
        <v>3381.3</v>
      </c>
      <c r="J1116">
        <v>24</v>
      </c>
      <c r="K1116">
        <v>0</v>
      </c>
    </row>
    <row r="1117" hidden="1" spans="1:11">
      <c r="A1117">
        <v>1116</v>
      </c>
      <c r="B1117">
        <v>39</v>
      </c>
      <c r="C1117" t="s">
        <v>16</v>
      </c>
      <c r="D1117" t="s">
        <v>12</v>
      </c>
      <c r="E1117" t="s">
        <v>23</v>
      </c>
      <c r="F1117" s="38">
        <v>1754</v>
      </c>
      <c r="G1117" t="s">
        <v>14</v>
      </c>
      <c r="H1117" t="s">
        <v>15</v>
      </c>
      <c r="I1117" s="38">
        <v>1466.3</v>
      </c>
      <c r="J1117">
        <v>24</v>
      </c>
      <c r="K1117">
        <v>1</v>
      </c>
    </row>
    <row r="1118" hidden="1" spans="1:11">
      <c r="A1118">
        <v>1117</v>
      </c>
      <c r="B1118">
        <v>31</v>
      </c>
      <c r="C1118" t="s">
        <v>11</v>
      </c>
      <c r="D1118" t="s">
        <v>17</v>
      </c>
      <c r="E1118" t="s">
        <v>13</v>
      </c>
      <c r="F1118" s="38">
        <v>3799</v>
      </c>
      <c r="G1118" t="s">
        <v>14</v>
      </c>
      <c r="H1118" t="s">
        <v>15</v>
      </c>
      <c r="I1118" s="38">
        <v>13197.8</v>
      </c>
      <c r="J1118">
        <v>30</v>
      </c>
      <c r="K1118">
        <v>1</v>
      </c>
    </row>
    <row r="1119" hidden="1" spans="1:11">
      <c r="A1119">
        <v>1118</v>
      </c>
      <c r="B1119">
        <v>37</v>
      </c>
      <c r="C1119" t="s">
        <v>16</v>
      </c>
      <c r="D1119" t="s">
        <v>24</v>
      </c>
      <c r="E1119" t="s">
        <v>13</v>
      </c>
      <c r="F1119" s="38">
        <v>1531</v>
      </c>
      <c r="G1119" t="s">
        <v>18</v>
      </c>
      <c r="H1119" t="s">
        <v>15</v>
      </c>
      <c r="I1119" s="38">
        <v>3623.4</v>
      </c>
      <c r="J1119">
        <v>21</v>
      </c>
      <c r="K1119">
        <v>1</v>
      </c>
    </row>
    <row r="1120" hidden="1" spans="1:11">
      <c r="A1120">
        <v>1119</v>
      </c>
      <c r="B1120">
        <v>46</v>
      </c>
      <c r="C1120" t="s">
        <v>16</v>
      </c>
      <c r="D1120" t="s">
        <v>12</v>
      </c>
      <c r="E1120" t="s">
        <v>13</v>
      </c>
      <c r="F1120" s="38">
        <v>3825</v>
      </c>
      <c r="G1120" t="s">
        <v>20</v>
      </c>
      <c r="H1120" t="s">
        <v>19</v>
      </c>
      <c r="I1120" s="38">
        <v>2184.3</v>
      </c>
      <c r="J1120">
        <v>18</v>
      </c>
      <c r="K1120">
        <v>0</v>
      </c>
    </row>
    <row r="1121" hidden="1" spans="1:11">
      <c r="A1121">
        <v>1120</v>
      </c>
      <c r="B1121">
        <v>21</v>
      </c>
      <c r="C1121" t="s">
        <v>16</v>
      </c>
      <c r="D1121" t="s">
        <v>12</v>
      </c>
      <c r="E1121" t="s">
        <v>13</v>
      </c>
      <c r="F1121" s="38">
        <v>2366</v>
      </c>
      <c r="G1121" t="s">
        <v>20</v>
      </c>
      <c r="H1121" t="s">
        <v>15</v>
      </c>
      <c r="I1121" s="38">
        <v>990</v>
      </c>
      <c r="J1121">
        <v>12</v>
      </c>
      <c r="K1121">
        <v>1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41"/>
  <sheetViews>
    <sheetView showGridLines="0" tabSelected="1" workbookViewId="0">
      <selection activeCell="C25" sqref="C25:D25"/>
    </sheetView>
  </sheetViews>
  <sheetFormatPr defaultColWidth="9.14285714285714" defaultRowHeight="15"/>
  <cols>
    <col min="1" max="1" width="28.2857142857143"/>
    <col min="2" max="3" width="16.7142857142857"/>
    <col min="4" max="4" width="11"/>
    <col min="5" max="5" width="12.8571428571429"/>
    <col min="6" max="6" width="16.1428571428571" customWidth="1"/>
    <col min="7" max="8" width="5" customWidth="1"/>
    <col min="9" max="9" width="11.5714285714286" customWidth="1"/>
    <col min="10" max="10" width="13.8571428571429" customWidth="1"/>
    <col min="11" max="12" width="6.71428571428571" customWidth="1"/>
    <col min="13" max="13" width="16.7142857142857" customWidth="1"/>
    <col min="14" max="14" width="12.8571428571429" customWidth="1"/>
    <col min="15" max="15" width="14" customWidth="1"/>
    <col min="16" max="16" width="14.5714285714286" customWidth="1"/>
    <col min="17" max="17" width="14"/>
    <col min="18" max="18" width="14.5714285714286"/>
  </cols>
  <sheetData>
    <row r="3" spans="1:2">
      <c r="A3" t="s">
        <v>27</v>
      </c>
      <c r="B3" t="s">
        <v>10</v>
      </c>
    </row>
    <row r="4" spans="1:16">
      <c r="A4" t="s">
        <v>5</v>
      </c>
      <c r="B4">
        <v>0</v>
      </c>
      <c r="C4">
        <v>1</v>
      </c>
      <c r="D4" t="s">
        <v>28</v>
      </c>
      <c r="F4" s="1" t="s">
        <v>5</v>
      </c>
      <c r="G4" s="2">
        <v>0</v>
      </c>
      <c r="H4" s="2">
        <v>1</v>
      </c>
      <c r="I4" s="17" t="s">
        <v>29</v>
      </c>
      <c r="J4" s="17" t="s">
        <v>30</v>
      </c>
      <c r="K4" s="18">
        <v>0</v>
      </c>
      <c r="L4" s="18">
        <v>0.01</v>
      </c>
      <c r="M4" s="17" t="s">
        <v>31</v>
      </c>
      <c r="N4" s="17" t="s">
        <v>32</v>
      </c>
      <c r="O4" s="17" t="s">
        <v>33</v>
      </c>
      <c r="P4" s="19" t="s">
        <v>34</v>
      </c>
    </row>
    <row r="5" spans="1:16">
      <c r="A5" t="s">
        <v>35</v>
      </c>
      <c r="B5">
        <v>0</v>
      </c>
      <c r="C5">
        <v>24</v>
      </c>
      <c r="D5">
        <v>24</v>
      </c>
      <c r="F5" s="3" t="s">
        <v>36</v>
      </c>
      <c r="G5" s="4">
        <v>93</v>
      </c>
      <c r="H5" s="4">
        <v>123</v>
      </c>
      <c r="I5" s="4">
        <v>216</v>
      </c>
      <c r="J5" s="20">
        <f>I5/$I$11</f>
        <v>0.192857142857143</v>
      </c>
      <c r="K5" s="20">
        <f>G5/$G$11</f>
        <v>0.122691292875989</v>
      </c>
      <c r="L5" s="20">
        <f>H5/$H$11</f>
        <v>0.339779005524862</v>
      </c>
      <c r="M5" s="20">
        <f>H5/I5</f>
        <v>0.569444444444444</v>
      </c>
      <c r="N5" s="4">
        <f>L5/K5</f>
        <v>2.76938157191232</v>
      </c>
      <c r="O5" s="4">
        <f>LN(N5)</f>
        <v>1.01862403603576</v>
      </c>
      <c r="P5" s="21">
        <f>(L5-K5)*O5</f>
        <v>0.221130762032166</v>
      </c>
    </row>
    <row r="6" spans="1:16">
      <c r="A6" t="s">
        <v>37</v>
      </c>
      <c r="B6">
        <v>119</v>
      </c>
      <c r="C6">
        <v>122</v>
      </c>
      <c r="D6">
        <v>241</v>
      </c>
      <c r="F6" s="5" t="s">
        <v>38</v>
      </c>
      <c r="G6">
        <v>143</v>
      </c>
      <c r="H6">
        <v>106</v>
      </c>
      <c r="I6">
        <v>249</v>
      </c>
      <c r="J6" s="22">
        <f>I6/$I$11</f>
        <v>0.222321428571429</v>
      </c>
      <c r="K6" s="22">
        <f>G6/$G$11</f>
        <v>0.188654353562005</v>
      </c>
      <c r="L6" s="22">
        <f>H6/$H$11</f>
        <v>0.292817679558011</v>
      </c>
      <c r="M6" s="22">
        <f>H6/I6</f>
        <v>0.42570281124498</v>
      </c>
      <c r="N6">
        <f>L6/K6</f>
        <v>1.55213846926554</v>
      </c>
      <c r="O6">
        <f>LN(N6)</f>
        <v>0.43963363766876</v>
      </c>
      <c r="P6" s="23">
        <f>(L6-K6)*O6</f>
        <v>0.045793701919301</v>
      </c>
    </row>
    <row r="7" spans="1:16">
      <c r="A7" t="s">
        <v>39</v>
      </c>
      <c r="B7">
        <v>141</v>
      </c>
      <c r="C7">
        <v>98</v>
      </c>
      <c r="D7">
        <v>239</v>
      </c>
      <c r="F7" s="5" t="s">
        <v>40</v>
      </c>
      <c r="G7">
        <v>135</v>
      </c>
      <c r="H7">
        <v>128</v>
      </c>
      <c r="I7">
        <v>263</v>
      </c>
      <c r="J7" s="22">
        <f>I7/$I$11</f>
        <v>0.234821428571429</v>
      </c>
      <c r="K7" s="22">
        <f>G7/$G$11</f>
        <v>0.178100263852243</v>
      </c>
      <c r="L7" s="22">
        <f>H7/$H$11</f>
        <v>0.353591160220994</v>
      </c>
      <c r="M7" s="22">
        <f>H7/I7</f>
        <v>0.486692015209125</v>
      </c>
      <c r="N7">
        <f>L7/K7</f>
        <v>1.9853488847964</v>
      </c>
      <c r="O7">
        <f>LN(N7)</f>
        <v>0.685794659297788</v>
      </c>
      <c r="P7" s="23">
        <f>(L7-K7)*O7</f>
        <v>0.120350719485072</v>
      </c>
    </row>
    <row r="8" spans="1:16">
      <c r="A8" t="s">
        <v>41</v>
      </c>
      <c r="B8">
        <v>130</v>
      </c>
      <c r="C8">
        <v>118</v>
      </c>
      <c r="D8">
        <v>248</v>
      </c>
      <c r="F8" s="6" t="s">
        <v>42</v>
      </c>
      <c r="G8" s="7">
        <v>146</v>
      </c>
      <c r="H8" s="7">
        <v>5</v>
      </c>
      <c r="I8" s="7">
        <v>151</v>
      </c>
      <c r="J8" s="24">
        <f>I8/$I$11</f>
        <v>0.134821428571429</v>
      </c>
      <c r="K8" s="24">
        <f>G8/$G$11</f>
        <v>0.192612137203166</v>
      </c>
      <c r="L8" s="24">
        <f>H8/$H$11</f>
        <v>0.0138121546961326</v>
      </c>
      <c r="M8" s="24">
        <f>H8/I8</f>
        <v>0.033112582781457</v>
      </c>
      <c r="N8" s="7">
        <f>L8/K8</f>
        <v>0.0717096798607432</v>
      </c>
      <c r="O8" s="7">
        <f>LN(N8)</f>
        <v>-2.63512953545764</v>
      </c>
      <c r="P8" s="25">
        <f>(L8-K8)*O8</f>
        <v>0.471161114843593</v>
      </c>
    </row>
    <row r="9" spans="1:16">
      <c r="A9" t="s">
        <v>43</v>
      </c>
      <c r="B9">
        <v>164</v>
      </c>
      <c r="C9">
        <v>0</v>
      </c>
      <c r="D9">
        <v>164</v>
      </c>
      <c r="F9" s="8" t="s">
        <v>44</v>
      </c>
      <c r="G9" s="9">
        <v>168</v>
      </c>
      <c r="H9" s="9">
        <v>0</v>
      </c>
      <c r="I9" s="9">
        <v>168</v>
      </c>
      <c r="J9" s="26">
        <f>I9/$I$11</f>
        <v>0.15</v>
      </c>
      <c r="K9" s="26">
        <f>(G9+0.5)/$G$11</f>
        <v>0.222295514511873</v>
      </c>
      <c r="L9" s="26">
        <f>(H9+0.5)/$H$11</f>
        <v>0.00138121546961326</v>
      </c>
      <c r="M9" s="26">
        <f>H9/I9</f>
        <v>0</v>
      </c>
      <c r="N9" s="9">
        <f>L9/K9</f>
        <v>0.00621342033214748</v>
      </c>
      <c r="O9" s="9">
        <f>LN(N9)</f>
        <v>-5.08104375653576</v>
      </c>
      <c r="P9" s="27">
        <f>(L9-K9)*O9</f>
        <v>1.12247521987815</v>
      </c>
    </row>
    <row r="10" spans="1:16">
      <c r="A10" t="s">
        <v>45</v>
      </c>
      <c r="B10">
        <v>77</v>
      </c>
      <c r="C10">
        <v>0</v>
      </c>
      <c r="D10">
        <v>77</v>
      </c>
      <c r="F10" s="10" t="s">
        <v>46</v>
      </c>
      <c r="G10" s="11">
        <v>73</v>
      </c>
      <c r="H10" s="11">
        <v>0</v>
      </c>
      <c r="I10" s="11">
        <v>73</v>
      </c>
      <c r="J10" s="28">
        <f>I10/$I$11</f>
        <v>0.0651785714285714</v>
      </c>
      <c r="K10" s="28">
        <f>(G10+0.5)/$G$11</f>
        <v>0.0969656992084433</v>
      </c>
      <c r="L10" s="28">
        <f>(H10+0.5)/$H$11</f>
        <v>0.00138121546961326</v>
      </c>
      <c r="M10" s="28">
        <f>H10/I10</f>
        <v>0</v>
      </c>
      <c r="N10" s="11">
        <f>L10/K10</f>
        <v>0.0142443717818619</v>
      </c>
      <c r="O10" s="11">
        <f>LN(N10)</f>
        <v>-4.25139341296214</v>
      </c>
      <c r="P10" s="29">
        <f>(L10-K10)*O10</f>
        <v>0.406367244548648</v>
      </c>
    </row>
    <row r="11" ht="15.75" spans="1:16">
      <c r="A11" t="s">
        <v>47</v>
      </c>
      <c r="B11">
        <v>127</v>
      </c>
      <c r="C11">
        <v>0</v>
      </c>
      <c r="D11">
        <v>127</v>
      </c>
      <c r="F11" s="12"/>
      <c r="G11" s="13">
        <f>SUM(G5:G10)</f>
        <v>758</v>
      </c>
      <c r="H11" s="13">
        <f>SUM(H5:H10)</f>
        <v>362</v>
      </c>
      <c r="I11" s="13">
        <f>SUM(I5:I10)</f>
        <v>1120</v>
      </c>
      <c r="J11" s="30"/>
      <c r="K11" s="30"/>
      <c r="L11" s="30"/>
      <c r="M11" s="30"/>
      <c r="N11" s="30"/>
      <c r="O11" s="30"/>
      <c r="P11" s="31">
        <f>SUM(P5:P10)</f>
        <v>2.38727876270693</v>
      </c>
    </row>
    <row r="12" spans="1:4">
      <c r="A12" t="s">
        <v>28</v>
      </c>
      <c r="B12">
        <v>758</v>
      </c>
      <c r="C12">
        <v>362</v>
      </c>
      <c r="D12">
        <v>1120</v>
      </c>
    </row>
    <row r="15" spans="6:16">
      <c r="F15" s="14" t="s">
        <v>1</v>
      </c>
      <c r="G15" s="15">
        <v>0</v>
      </c>
      <c r="H15" s="15">
        <v>1</v>
      </c>
      <c r="I15" s="32" t="s">
        <v>29</v>
      </c>
      <c r="J15" s="32" t="s">
        <v>30</v>
      </c>
      <c r="K15" s="33">
        <v>0</v>
      </c>
      <c r="L15" s="33">
        <v>0.01</v>
      </c>
      <c r="M15" s="32" t="s">
        <v>31</v>
      </c>
      <c r="N15" s="32" t="s">
        <v>32</v>
      </c>
      <c r="O15" s="32" t="s">
        <v>33</v>
      </c>
      <c r="P15" s="34" t="s">
        <v>34</v>
      </c>
    </row>
    <row r="16" spans="6:16">
      <c r="F16" s="3" t="s">
        <v>48</v>
      </c>
      <c r="G16" s="4">
        <v>0</v>
      </c>
      <c r="H16" s="4">
        <v>11</v>
      </c>
      <c r="I16" s="4">
        <v>11</v>
      </c>
      <c r="J16" s="20">
        <f>I16/$I$27</f>
        <v>0.00982142857142857</v>
      </c>
      <c r="K16" s="20">
        <f>(G16+0.5)/$G$27</f>
        <v>0.000659630606860158</v>
      </c>
      <c r="L16" s="20">
        <f>(H16+0.5)/$H$27</f>
        <v>0.031767955801105</v>
      </c>
      <c r="M16" s="20">
        <f>H16/I16</f>
        <v>1</v>
      </c>
      <c r="N16" s="4">
        <f>L16/K16</f>
        <v>48.1602209944751</v>
      </c>
      <c r="O16" s="4">
        <f>LN(N16)</f>
        <v>3.87453338974575</v>
      </c>
      <c r="P16" s="21">
        <f>(L16-K16)*O16</f>
        <v>0.120530244664171</v>
      </c>
    </row>
    <row r="17" spans="6:16">
      <c r="F17" s="3" t="s">
        <v>49</v>
      </c>
      <c r="G17" s="4">
        <v>35</v>
      </c>
      <c r="H17" s="4">
        <v>106</v>
      </c>
      <c r="I17" s="4">
        <v>141</v>
      </c>
      <c r="J17" s="20">
        <f t="shared" ref="J17:J26" si="0">I17/$I$27</f>
        <v>0.125892857142857</v>
      </c>
      <c r="K17" s="20">
        <f>G17/$G$27</f>
        <v>0.0461741424802111</v>
      </c>
      <c r="L17" s="20">
        <f>H17/$H$27</f>
        <v>0.292817679558011</v>
      </c>
      <c r="M17" s="20">
        <f>H17/I17</f>
        <v>0.75177304964539</v>
      </c>
      <c r="N17" s="4">
        <f>L17/K17</f>
        <v>6.34159431728492</v>
      </c>
      <c r="O17" s="4">
        <f>LN(N17)</f>
        <v>1.84713020643925</v>
      </c>
      <c r="P17" s="21">
        <f>(L17-K17)*O17</f>
        <v>0.455582727559424</v>
      </c>
    </row>
    <row r="18" spans="6:16">
      <c r="F18" s="5" t="s">
        <v>50</v>
      </c>
      <c r="G18">
        <v>118</v>
      </c>
      <c r="H18">
        <v>76</v>
      </c>
      <c r="I18">
        <v>194</v>
      </c>
      <c r="J18" s="22">
        <f t="shared" si="0"/>
        <v>0.173214285714286</v>
      </c>
      <c r="K18" s="22">
        <f t="shared" ref="K17:K26" si="1">G18/$G$27</f>
        <v>0.155672823218997</v>
      </c>
      <c r="L18" s="22">
        <f>H18/$H$27</f>
        <v>0.209944751381215</v>
      </c>
      <c r="M18" s="22">
        <f t="shared" ref="M17:M26" si="2">H18/I18</f>
        <v>0.391752577319588</v>
      </c>
      <c r="N18">
        <f t="shared" ref="N17:N26" si="3">L18/K18</f>
        <v>1.34862814870306</v>
      </c>
      <c r="O18">
        <f t="shared" ref="O18:O26" si="4">LN(N18)</f>
        <v>0.299087889637267</v>
      </c>
      <c r="P18" s="23">
        <f t="shared" ref="P18:P26" si="5">(L18-K18)*O18</f>
        <v>0.0162320764605832</v>
      </c>
    </row>
    <row r="19" spans="6:16">
      <c r="F19" s="5" t="s">
        <v>51</v>
      </c>
      <c r="G19">
        <v>153</v>
      </c>
      <c r="H19">
        <v>60</v>
      </c>
      <c r="I19">
        <v>213</v>
      </c>
      <c r="J19" s="22">
        <f t="shared" si="0"/>
        <v>0.190178571428571</v>
      </c>
      <c r="K19" s="22">
        <f t="shared" si="1"/>
        <v>0.201846965699208</v>
      </c>
      <c r="L19" s="22">
        <f>H19/$H$27</f>
        <v>0.165745856353591</v>
      </c>
      <c r="M19" s="22">
        <f t="shared" si="2"/>
        <v>0.28169014084507</v>
      </c>
      <c r="N19">
        <f t="shared" si="3"/>
        <v>0.821146138013216</v>
      </c>
      <c r="O19">
        <f>LN(N19)</f>
        <v>-0.197054185353734</v>
      </c>
      <c r="P19" s="23">
        <f t="shared" si="5"/>
        <v>0.00711387469246669</v>
      </c>
    </row>
    <row r="20" spans="6:16">
      <c r="F20" s="5" t="s">
        <v>52</v>
      </c>
      <c r="G20">
        <v>115</v>
      </c>
      <c r="H20">
        <v>37</v>
      </c>
      <c r="I20">
        <v>152</v>
      </c>
      <c r="J20" s="22">
        <f t="shared" si="0"/>
        <v>0.135714285714286</v>
      </c>
      <c r="K20" s="22">
        <f t="shared" si="1"/>
        <v>0.151715039577836</v>
      </c>
      <c r="L20" s="22">
        <f>H20/$H$27</f>
        <v>0.102209944751381</v>
      </c>
      <c r="M20" s="22">
        <f t="shared" si="2"/>
        <v>0.243421052631579</v>
      </c>
      <c r="N20">
        <f>L20/K20</f>
        <v>0.673696853230843</v>
      </c>
      <c r="O20">
        <f t="shared" si="4"/>
        <v>-0.394975041902425</v>
      </c>
      <c r="P20" s="23">
        <f t="shared" si="5"/>
        <v>0.0195532769034627</v>
      </c>
    </row>
    <row r="21" spans="6:16">
      <c r="F21" s="5" t="s">
        <v>53</v>
      </c>
      <c r="G21">
        <v>113</v>
      </c>
      <c r="H21">
        <v>24</v>
      </c>
      <c r="I21">
        <v>137</v>
      </c>
      <c r="J21" s="22">
        <f t="shared" si="0"/>
        <v>0.122321428571429</v>
      </c>
      <c r="K21" s="22">
        <f t="shared" si="1"/>
        <v>0.149076517150396</v>
      </c>
      <c r="L21" s="22">
        <f>H21/$H$27</f>
        <v>0.0662983425414365</v>
      </c>
      <c r="M21" s="22">
        <f t="shared" si="2"/>
        <v>0.175182481751825</v>
      </c>
      <c r="N21">
        <f t="shared" si="3"/>
        <v>0.444726934923972</v>
      </c>
      <c r="O21">
        <f t="shared" si="4"/>
        <v>-0.810294814547794</v>
      </c>
      <c r="P21" s="23">
        <f t="shared" si="5"/>
        <v>0.0670747256433716</v>
      </c>
    </row>
    <row r="22" spans="6:16">
      <c r="F22" s="5" t="s">
        <v>54</v>
      </c>
      <c r="G22">
        <v>60</v>
      </c>
      <c r="H22">
        <v>15</v>
      </c>
      <c r="I22">
        <v>75</v>
      </c>
      <c r="J22" s="22">
        <f t="shared" si="0"/>
        <v>0.0669642857142857</v>
      </c>
      <c r="K22" s="22">
        <f t="shared" si="1"/>
        <v>0.079155672823219</v>
      </c>
      <c r="L22" s="22">
        <f>H22/$H$27</f>
        <v>0.0414364640883978</v>
      </c>
      <c r="M22" s="22">
        <f t="shared" si="2"/>
        <v>0.2</v>
      </c>
      <c r="N22">
        <f t="shared" si="3"/>
        <v>0.523480662983425</v>
      </c>
      <c r="O22">
        <f t="shared" si="4"/>
        <v>-0.64725518730329</v>
      </c>
      <c r="P22" s="23">
        <f t="shared" si="5"/>
        <v>0.0244139535145886</v>
      </c>
    </row>
    <row r="23" spans="6:16">
      <c r="F23" s="5" t="s">
        <v>55</v>
      </c>
      <c r="G23">
        <v>65</v>
      </c>
      <c r="H23">
        <v>16</v>
      </c>
      <c r="I23">
        <v>81</v>
      </c>
      <c r="J23" s="22">
        <f t="shared" si="0"/>
        <v>0.0723214285714286</v>
      </c>
      <c r="K23" s="22">
        <f t="shared" si="1"/>
        <v>0.0857519788918206</v>
      </c>
      <c r="L23" s="22">
        <f>H23/$H$27</f>
        <v>0.0441988950276243</v>
      </c>
      <c r="M23" s="22">
        <f t="shared" si="2"/>
        <v>0.197530864197531</v>
      </c>
      <c r="N23">
        <f t="shared" si="3"/>
        <v>0.515427114322142</v>
      </c>
      <c r="O23">
        <f t="shared" si="4"/>
        <v>-0.662759373839255</v>
      </c>
      <c r="P23" s="23">
        <f t="shared" si="5"/>
        <v>0.0275396958429248</v>
      </c>
    </row>
    <row r="24" spans="6:16">
      <c r="F24" s="5" t="s">
        <v>56</v>
      </c>
      <c r="G24">
        <v>36</v>
      </c>
      <c r="H24">
        <v>11</v>
      </c>
      <c r="I24">
        <v>47</v>
      </c>
      <c r="J24" s="22">
        <f t="shared" si="0"/>
        <v>0.0419642857142857</v>
      </c>
      <c r="K24" s="22">
        <f t="shared" si="1"/>
        <v>0.0474934036939314</v>
      </c>
      <c r="L24" s="22">
        <f>H24/$H$27</f>
        <v>0.0303867403314917</v>
      </c>
      <c r="M24" s="22">
        <f t="shared" si="2"/>
        <v>0.234042553191489</v>
      </c>
      <c r="N24">
        <f>L24/K24</f>
        <v>0.639809699201964</v>
      </c>
      <c r="O24">
        <f t="shared" si="4"/>
        <v>-0.446584491841139</v>
      </c>
      <c r="P24" s="23">
        <f t="shared" si="5"/>
        <v>0.00763957056481255</v>
      </c>
    </row>
    <row r="25" spans="6:16">
      <c r="F25" s="5" t="s">
        <v>57</v>
      </c>
      <c r="G25">
        <v>21</v>
      </c>
      <c r="H25">
        <v>4</v>
      </c>
      <c r="I25">
        <v>25</v>
      </c>
      <c r="J25" s="22">
        <f t="shared" si="0"/>
        <v>0.0223214285714286</v>
      </c>
      <c r="K25" s="22">
        <f t="shared" si="1"/>
        <v>0.0277044854881266</v>
      </c>
      <c r="L25" s="22">
        <f>H25/$H$27</f>
        <v>0.0110497237569061</v>
      </c>
      <c r="M25" s="22">
        <f>H25/I25</f>
        <v>0.16</v>
      </c>
      <c r="N25">
        <f>L25/K25</f>
        <v>0.398842409892134</v>
      </c>
      <c r="O25">
        <f t="shared" si="4"/>
        <v>-0.919188902786932</v>
      </c>
      <c r="P25" s="23">
        <f t="shared" si="5"/>
        <v>0.0153088721618984</v>
      </c>
    </row>
    <row r="26" spans="6:16">
      <c r="F26" s="5" t="s">
        <v>58</v>
      </c>
      <c r="G26" s="16">
        <v>42</v>
      </c>
      <c r="H26" s="16">
        <v>2</v>
      </c>
      <c r="I26" s="16">
        <v>44</v>
      </c>
      <c r="J26" s="22">
        <f t="shared" si="0"/>
        <v>0.0392857142857143</v>
      </c>
      <c r="K26" s="22">
        <f t="shared" si="1"/>
        <v>0.0554089709762533</v>
      </c>
      <c r="L26" s="22">
        <f>H26/$H$27</f>
        <v>0.00552486187845304</v>
      </c>
      <c r="M26" s="22">
        <f t="shared" si="2"/>
        <v>0.0454545454545455</v>
      </c>
      <c r="N26">
        <f t="shared" si="3"/>
        <v>0.0997106024730334</v>
      </c>
      <c r="O26">
        <f t="shared" si="4"/>
        <v>-2.30548326390682</v>
      </c>
      <c r="P26" s="23">
        <f t="shared" si="5"/>
        <v>0.115006978659881</v>
      </c>
    </row>
    <row r="27" ht="15.75" spans="6:16">
      <c r="F27" s="12"/>
      <c r="G27" s="13">
        <f>SUM(G16:G26)</f>
        <v>758</v>
      </c>
      <c r="H27" s="13">
        <f>SUM(H16:H26)</f>
        <v>362</v>
      </c>
      <c r="I27" s="13">
        <f>SUM(I16:I26)</f>
        <v>1120</v>
      </c>
      <c r="J27" s="30"/>
      <c r="K27" s="30"/>
      <c r="L27" s="30"/>
      <c r="M27" s="30"/>
      <c r="N27" s="30"/>
      <c r="O27" s="30"/>
      <c r="P27" s="35">
        <f>SUM(P16:P26)</f>
        <v>0.875995996667584</v>
      </c>
    </row>
    <row r="33" spans="6:16">
      <c r="F33" s="1" t="s">
        <v>5</v>
      </c>
      <c r="G33" s="2">
        <v>0</v>
      </c>
      <c r="H33" s="2">
        <v>1</v>
      </c>
      <c r="I33" s="17" t="s">
        <v>29</v>
      </c>
      <c r="J33" s="17" t="s">
        <v>59</v>
      </c>
      <c r="K33" s="18">
        <v>0</v>
      </c>
      <c r="L33" s="18">
        <v>0.01</v>
      </c>
      <c r="M33" s="17" t="s">
        <v>31</v>
      </c>
      <c r="N33" s="17" t="s">
        <v>32</v>
      </c>
      <c r="O33" s="17" t="s">
        <v>33</v>
      </c>
      <c r="P33" s="19" t="s">
        <v>34</v>
      </c>
    </row>
    <row r="34" spans="6:16">
      <c r="F34" s="3" t="s">
        <v>35</v>
      </c>
      <c r="G34" s="4">
        <v>0</v>
      </c>
      <c r="H34" s="4">
        <v>24</v>
      </c>
      <c r="I34" s="4">
        <v>24</v>
      </c>
      <c r="J34" s="20">
        <f>I34/$I$41</f>
        <v>0.0214285714285714</v>
      </c>
      <c r="K34" s="20">
        <f>(G34+0.5)/$G$41</f>
        <v>0.000659630606860158</v>
      </c>
      <c r="L34" s="20">
        <f>(H34+0.5)/$H$41</f>
        <v>0.0676795580110497</v>
      </c>
      <c r="M34" s="20">
        <f>H34/I34</f>
        <v>1</v>
      </c>
      <c r="N34" s="4">
        <f>L34/K34</f>
        <v>102.602209944751</v>
      </c>
      <c r="O34" s="4">
        <f>LN(N34)</f>
        <v>4.63085947192723</v>
      </c>
      <c r="P34" s="21">
        <f>(L34-K34)*O34</f>
        <v>0.310359865627566</v>
      </c>
    </row>
    <row r="35" spans="6:16">
      <c r="F35" s="5" t="s">
        <v>37</v>
      </c>
      <c r="G35">
        <v>119</v>
      </c>
      <c r="H35">
        <v>122</v>
      </c>
      <c r="I35">
        <v>241</v>
      </c>
      <c r="J35" s="22">
        <f t="shared" ref="J35:J41" si="6">I35/$I$41</f>
        <v>0.215178571428571</v>
      </c>
      <c r="K35" s="22">
        <f t="shared" ref="K35:K40" si="7">G35/$G$41</f>
        <v>0.156992084432718</v>
      </c>
      <c r="L35" s="22">
        <f t="shared" ref="L35:L40" si="8">H35/$H$41</f>
        <v>0.337016574585635</v>
      </c>
      <c r="M35" s="36">
        <f t="shared" ref="M35:M40" si="9">H35/I35</f>
        <v>0.506224066390041</v>
      </c>
      <c r="N35">
        <f t="shared" ref="N35:N40" si="10">L35/K35</f>
        <v>2.14671061794884</v>
      </c>
      <c r="O35">
        <f t="shared" ref="O35:O40" si="11">LN(N35)</f>
        <v>0.763936725438328</v>
      </c>
      <c r="P35" s="37">
        <f t="shared" ref="P35:P40" si="12">(L35-K35)*O35</f>
        <v>0.137527319506124</v>
      </c>
    </row>
    <row r="36" spans="6:16">
      <c r="F36" s="5" t="s">
        <v>39</v>
      </c>
      <c r="G36">
        <v>141</v>
      </c>
      <c r="H36">
        <v>98</v>
      </c>
      <c r="I36">
        <v>239</v>
      </c>
      <c r="J36" s="22">
        <f t="shared" si="6"/>
        <v>0.213392857142857</v>
      </c>
      <c r="K36" s="22">
        <f t="shared" si="7"/>
        <v>0.186015831134565</v>
      </c>
      <c r="L36" s="22">
        <f t="shared" si="8"/>
        <v>0.270718232044199</v>
      </c>
      <c r="M36" s="36">
        <f t="shared" si="9"/>
        <v>0.410041841004184</v>
      </c>
      <c r="N36">
        <f t="shared" si="10"/>
        <v>1.45535049567023</v>
      </c>
      <c r="O36">
        <f t="shared" si="11"/>
        <v>0.375246762109004</v>
      </c>
      <c r="P36" s="37">
        <f t="shared" si="12"/>
        <v>0.031784301684199</v>
      </c>
    </row>
    <row r="37" spans="6:16">
      <c r="F37" s="5" t="s">
        <v>41</v>
      </c>
      <c r="G37">
        <v>130</v>
      </c>
      <c r="H37">
        <v>118</v>
      </c>
      <c r="I37">
        <v>248</v>
      </c>
      <c r="J37" s="22">
        <f t="shared" si="6"/>
        <v>0.221428571428571</v>
      </c>
      <c r="K37" s="22">
        <f t="shared" si="7"/>
        <v>0.171503957783641</v>
      </c>
      <c r="L37" s="22">
        <f t="shared" si="8"/>
        <v>0.325966850828729</v>
      </c>
      <c r="M37" s="36">
        <f t="shared" si="9"/>
        <v>0.475806451612903</v>
      </c>
      <c r="N37">
        <f t="shared" si="10"/>
        <v>1.9006374840629</v>
      </c>
      <c r="O37">
        <f t="shared" si="11"/>
        <v>0.642189347826683</v>
      </c>
      <c r="P37" s="37">
        <f t="shared" si="12"/>
        <v>0.0991944245480478</v>
      </c>
    </row>
    <row r="38" spans="6:16">
      <c r="F38" s="6" t="s">
        <v>43</v>
      </c>
      <c r="G38" s="7">
        <v>164</v>
      </c>
      <c r="H38" s="7">
        <v>0</v>
      </c>
      <c r="I38" s="7">
        <v>164</v>
      </c>
      <c r="J38" s="24">
        <f t="shared" si="6"/>
        <v>0.146428571428571</v>
      </c>
      <c r="K38" s="24">
        <f>(G38+0.5)/$G$41</f>
        <v>0.217018469656992</v>
      </c>
      <c r="L38" s="24">
        <f>(H38+0.5)/$H$41</f>
        <v>0.00138121546961326</v>
      </c>
      <c r="M38" s="24">
        <f t="shared" si="9"/>
        <v>0</v>
      </c>
      <c r="N38" s="7">
        <f t="shared" si="10"/>
        <v>0.00636450654083192</v>
      </c>
      <c r="O38" s="7">
        <f t="shared" si="11"/>
        <v>-5.05701857694877</v>
      </c>
      <c r="P38" s="25">
        <f t="shared" si="12"/>
        <v>1.0904816003078</v>
      </c>
    </row>
    <row r="39" spans="6:16">
      <c r="F39" s="8" t="s">
        <v>45</v>
      </c>
      <c r="G39" s="9">
        <v>77</v>
      </c>
      <c r="H39" s="9">
        <v>0</v>
      </c>
      <c r="I39" s="9">
        <v>77</v>
      </c>
      <c r="J39" s="26">
        <f t="shared" si="6"/>
        <v>0.06875</v>
      </c>
      <c r="K39" s="26">
        <f>(G39+0.5)/$G$41</f>
        <v>0.102242744063325</v>
      </c>
      <c r="L39" s="26">
        <f>(H39+0.5)/$H$41</f>
        <v>0.00138121546961326</v>
      </c>
      <c r="M39" s="26">
        <f t="shared" si="9"/>
        <v>0</v>
      </c>
      <c r="N39" s="9">
        <f t="shared" si="10"/>
        <v>0.0135091783995723</v>
      </c>
      <c r="O39" s="9">
        <f t="shared" si="11"/>
        <v>-4.30438594310265</v>
      </c>
      <c r="P39" s="27">
        <f t="shared" si="12"/>
        <v>0.434146945878616</v>
      </c>
    </row>
    <row r="40" spans="6:16">
      <c r="F40" s="10" t="s">
        <v>47</v>
      </c>
      <c r="G40" s="11">
        <v>127</v>
      </c>
      <c r="H40" s="11">
        <v>0</v>
      </c>
      <c r="I40" s="11">
        <v>127</v>
      </c>
      <c r="J40" s="28">
        <f t="shared" si="6"/>
        <v>0.113392857142857</v>
      </c>
      <c r="K40" s="28">
        <f>(G40+0.5)/$G$41</f>
        <v>0.16820580474934</v>
      </c>
      <c r="L40" s="28">
        <f>(H40+0.5)/$H$41</f>
        <v>0.00138121546961326</v>
      </c>
      <c r="M40" s="28">
        <f t="shared" si="9"/>
        <v>0</v>
      </c>
      <c r="N40" s="11">
        <f t="shared" si="10"/>
        <v>0.00821146138013216</v>
      </c>
      <c r="O40" s="11">
        <f t="shared" si="11"/>
        <v>-4.80222437134183</v>
      </c>
      <c r="P40" s="29">
        <f t="shared" si="12"/>
        <v>0.801129108378196</v>
      </c>
    </row>
    <row r="41" ht="15.75" spans="6:16">
      <c r="F41" s="12"/>
      <c r="G41" s="13">
        <f>SUM(G34:G40)</f>
        <v>758</v>
      </c>
      <c r="H41" s="13">
        <f>SUM(H34:H40)</f>
        <v>362</v>
      </c>
      <c r="I41" s="13">
        <f>SUM(I34:I40)</f>
        <v>1120</v>
      </c>
      <c r="J41" s="30"/>
      <c r="K41" s="30"/>
      <c r="L41" s="30"/>
      <c r="M41" s="30"/>
      <c r="N41" s="30"/>
      <c r="O41" s="30"/>
      <c r="P41" s="31">
        <f>SUM(P34:P40)</f>
        <v>2.90462356593055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Base</vt:lpstr>
      <vt:lpstr>IV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feborges</dc:creator>
  <cp:lastModifiedBy>MICRO</cp:lastModifiedBy>
  <dcterms:created xsi:type="dcterms:W3CDTF">2015-06-05T18:19:00Z</dcterms:created>
  <dcterms:modified xsi:type="dcterms:W3CDTF">2026-06-11T22:27:56Z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80304C8BFEBC481BA753C0B0166768A3_12</vt:lpwstr>
  </property>
  <property fmtid="{D5CDD505-2E9C-101B-9397-08002B2CF9AE}" pid="3" name="KSOProductBuildVer">
    <vt:lpwstr>1046-12.2.0.23202</vt:lpwstr>
  </property>
</Properties>
</file>